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Dashboard" sheetId="1" state="visible" r:id="rId1"/>
    <sheet xmlns:r="http://schemas.openxmlformats.org/officeDocument/2006/relationships" name="Python" sheetId="2" state="visible" r:id="rId2"/>
    <sheet xmlns:r="http://schemas.openxmlformats.org/officeDocument/2006/relationships" name="Node.js" sheetId="3" state="visible" r:id="rId3"/>
    <sheet xmlns:r="http://schemas.openxmlformats.org/officeDocument/2006/relationships" name="PHP" sheetId="4" state="visible" r:id="rId4"/>
    <sheet xmlns:r="http://schemas.openxmlformats.org/officeDocument/2006/relationships" name="Go" sheetId="5" state="visible" r:id="rId5"/>
    <sheet xmlns:r="http://schemas.openxmlformats.org/officeDocument/2006/relationships" name="Java" sheetId="6" state="visible" r:id="rId6"/>
    <sheet xmlns:r="http://schemas.openxmlformats.org/officeDocument/2006/relationships" name="Python (opt.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0"/>
    </font>
    <font>
      <name val="Calibri"/>
      <b val="1"/>
      <color rgb="0064748B"/>
      <sz val="9"/>
    </font>
    <font>
      <name val="Calibri"/>
      <b val="1"/>
      <color rgb="000F172A"/>
      <sz val="16"/>
    </font>
    <font>
      <name val="Calibri"/>
      <i val="1"/>
      <color rgb="0064748B"/>
      <sz val="8"/>
    </font>
    <font>
      <name val="Calibri"/>
      <b val="1"/>
      <color rgb="00FFFFFF"/>
      <sz val="12"/>
    </font>
    <font>
      <name val="Calibri"/>
      <b val="1"/>
      <color rgb="000F172A"/>
      <sz val="10"/>
    </font>
    <font>
      <name val="Calibri"/>
      <color rgb="001E293B"/>
      <sz val="10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4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7" fillId="5" borderId="3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4" fontId="8" fillId="6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  <xf numFmtId="3" fontId="8" fillId="6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4" fontId="8" fillId="8" borderId="2" applyAlignment="1" pivotButton="0" quotePrefix="0" xfId="0">
      <alignment horizontal="right" vertical="center"/>
    </xf>
    <xf numFmtId="164" fontId="7" fillId="9" borderId="2" applyAlignment="1" pivotButton="0" quotePrefix="0" xfId="0">
      <alignment horizontal="right" vertical="center"/>
    </xf>
    <xf numFmtId="3" fontId="8" fillId="8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right" vertical="center"/>
    </xf>
    <xf numFmtId="164" fontId="7" fillId="8" borderId="2" applyAlignment="1" pivotButton="0" quotePrefix="0" xfId="0">
      <alignment horizontal="right" vertical="center"/>
    </xf>
    <xf numFmtId="3" fontId="8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Indexed Read Throughput: Docker vs Bare Metal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 Dashboard'!E14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'Overview Dashboard'!$C$15:$C$19</f>
            </numRef>
          </cat>
          <val>
            <numRef>
              <f>'Overview Dashboard'!$E$15:$E$19</f>
            </numRef>
          </val>
        </ser>
        <ser>
          <idx val="1"/>
          <order val="1"/>
          <tx>
            <strRef>
              <f>'Overview Dashboard'!F14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'Overview Dashboard'!$C$15:$C$19</f>
            </numRef>
          </cat>
          <val>
            <numRef>
              <f>'Overview Dashboard'!$F$15:$F$19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Framework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Requests / Second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Tail Latency (P95 ms): Docker vs Bare Metal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 Dashboard'!J14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'Overview Dashboard'!$C$15:$C$19</f>
            </numRef>
          </cat>
          <val>
            <numRef>
              <f>'Overview Dashboard'!$J$15:$J$19</f>
            </numRef>
          </val>
        </ser>
        <ser>
          <idx val="1"/>
          <order val="1"/>
          <tx>
            <strRef>
              <f>'Overview Dashboard'!K14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'Overview Dashboard'!$C$15:$C$19</f>
            </numRef>
          </cat>
          <val>
            <numRef>
              <f>'Overview Dashboard'!$K$15:$K$19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Framework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'Python'!$C$6:$C$13</f>
            </numRef>
          </cat>
          <val>
            <numRef>
              <f>'Python'!$D$6:$D$13</f>
            </numRef>
          </val>
        </ser>
        <ser>
          <idx val="1"/>
          <order val="1"/>
          <tx>
            <strRef>
              <f>'Python'!E5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'Python'!$C$6:$C$13</f>
            </numRef>
          </cat>
          <val>
            <numRef>
              <f>'Python'!$E$6:$E$13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'Python'!$C$6:$C$13</f>
            </numRef>
          </cat>
          <val>
            <numRef>
              <f>'Python'!$I$6:$I$13</f>
            </numRef>
          </val>
        </ser>
        <ser>
          <idx val="1"/>
          <order val="1"/>
          <tx>
            <strRef>
              <f>'Python'!J5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'Python'!$C$6:$C$13</f>
            </numRef>
          </cat>
          <val>
            <numRef>
              <f>'Python'!$J$6:$J$13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'Python'!D41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'Python'!$C$42:$C$49</f>
            </numRef>
          </cat>
          <val>
            <numRef>
              <f>'Python'!$D$42:$D$49</f>
            </numRef>
          </val>
        </ser>
        <ser>
          <idx val="1"/>
          <order val="1"/>
          <tx>
            <strRef>
              <f>'Python'!E41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'Python'!$C$42:$C$49</f>
            </numRef>
          </cat>
          <val>
            <numRef>
              <f>'Python'!$E$42:$E$49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'Python'!I41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'Python'!$C$42:$C$49</f>
            </numRef>
          </cat>
          <val>
            <numRef>
              <f>'Python'!$I$42:$I$49</f>
            </numRef>
          </val>
        </ser>
        <ser>
          <idx val="1"/>
          <order val="1"/>
          <tx>
            <strRef>
              <f>'Python'!J41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'Python'!$C$42:$C$49</f>
            </numRef>
          </cat>
          <val>
            <numRef>
              <f>'Python'!$J$42:$J$49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'Python'!D77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'Python'!$C$78:$C$85</f>
            </numRef>
          </cat>
          <val>
            <numRef>
              <f>'Python'!$D$78:$D$85</f>
            </numRef>
          </val>
        </ser>
        <ser>
          <idx val="1"/>
          <order val="1"/>
          <tx>
            <strRef>
              <f>'Python'!E77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'Python'!$C$78:$C$85</f>
            </numRef>
          </cat>
          <val>
            <numRef>
              <f>'Python'!$E$78:$E$85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'Python'!I77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'Python'!$C$78:$C$85</f>
            </numRef>
          </cat>
          <val>
            <numRef>
              <f>'Python'!$I$78:$I$85</f>
            </numRef>
          </val>
        </ser>
        <ser>
          <idx val="1"/>
          <order val="1"/>
          <tx>
            <strRef>
              <f>'Python'!J77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'Python'!$C$78:$C$85</f>
            </numRef>
          </cat>
          <val>
            <numRef>
              <f>'Python'!$J$78:$J$85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'Node.js'!$C$6:$C$13</f>
            </numRef>
          </cat>
          <val>
            <numRef>
              <f>'Node.js'!$D$6:$D$13</f>
            </numRef>
          </val>
        </ser>
        <ser>
          <idx val="1"/>
          <order val="1"/>
          <tx>
            <strRef>
              <f>'Node.js'!E5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'Node.js'!$C$6:$C$13</f>
            </numRef>
          </cat>
          <val>
            <numRef>
              <f>'Node.js'!$E$6:$E$13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'Node.js'!$C$6:$C$13</f>
            </numRef>
          </cat>
          <val>
            <numRef>
              <f>'Node.js'!$I$6:$I$13</f>
            </numRef>
          </val>
        </ser>
        <ser>
          <idx val="1"/>
          <order val="1"/>
          <tx>
            <strRef>
              <f>'Node.js'!J5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'Node.js'!$C$6:$C$13</f>
            </numRef>
          </cat>
          <val>
            <numRef>
              <f>'Node.js'!$J$6:$J$13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'Node.js'!D41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'Node.js'!$C$42:$C$49</f>
            </numRef>
          </cat>
          <val>
            <numRef>
              <f>'Node.js'!$D$42:$D$49</f>
            </numRef>
          </val>
        </ser>
        <ser>
          <idx val="1"/>
          <order val="1"/>
          <tx>
            <strRef>
              <f>'Node.js'!E41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'Node.js'!$C$42:$C$49</f>
            </numRef>
          </cat>
          <val>
            <numRef>
              <f>'Node.js'!$E$42:$E$49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'Node.js'!I41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'Node.js'!$C$42:$C$49</f>
            </numRef>
          </cat>
          <val>
            <numRef>
              <f>'Node.js'!$I$42:$I$49</f>
            </numRef>
          </val>
        </ser>
        <ser>
          <idx val="1"/>
          <order val="1"/>
          <tx>
            <strRef>
              <f>'Node.js'!J41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'Node.js'!$C$42:$C$49</f>
            </numRef>
          </cat>
          <val>
            <numRef>
              <f>'Node.js'!$J$42:$J$49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'Node.js'!D77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'Node.js'!$C$78:$C$85</f>
            </numRef>
          </cat>
          <val>
            <numRef>
              <f>'Node.js'!$D$78:$D$85</f>
            </numRef>
          </val>
        </ser>
        <ser>
          <idx val="1"/>
          <order val="1"/>
          <tx>
            <strRef>
              <f>'Node.js'!E77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'Node.js'!$C$78:$C$85</f>
            </numRef>
          </cat>
          <val>
            <numRef>
              <f>'Node.js'!$E$78:$E$85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'Node.js'!I77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'Node.js'!$C$78:$C$85</f>
            </numRef>
          </cat>
          <val>
            <numRef>
              <f>'Node.js'!$I$78:$I$85</f>
            </numRef>
          </val>
        </ser>
        <ser>
          <idx val="1"/>
          <order val="1"/>
          <tx>
            <strRef>
              <f>'Node.js'!J77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'Node.js'!$C$78:$C$85</f>
            </numRef>
          </cat>
          <val>
            <numRef>
              <f>'Node.js'!$J$78:$J$85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'PHP'!$C$6:$C$13</f>
            </numRef>
          </cat>
          <val>
            <numRef>
              <f>'PHP'!$D$6:$D$13</f>
            </numRef>
          </val>
        </ser>
        <ser>
          <idx val="1"/>
          <order val="1"/>
          <tx>
            <strRef>
              <f>'PHP'!E5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'PHP'!$C$6:$C$13</f>
            </numRef>
          </cat>
          <val>
            <numRef>
              <f>'PHP'!$E$6:$E$13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'PHP'!$C$6:$C$13</f>
            </numRef>
          </cat>
          <val>
            <numRef>
              <f>'PHP'!$I$6:$I$13</f>
            </numRef>
          </val>
        </ser>
        <ser>
          <idx val="1"/>
          <order val="1"/>
          <tx>
            <strRef>
              <f>'PHP'!J5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'PHP'!$C$6:$C$13</f>
            </numRef>
          </cat>
          <val>
            <numRef>
              <f>'PHP'!$J$6:$J$13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'PHP'!D41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'PHP'!$C$42:$C$49</f>
            </numRef>
          </cat>
          <val>
            <numRef>
              <f>'PHP'!$D$42:$D$49</f>
            </numRef>
          </val>
        </ser>
        <ser>
          <idx val="1"/>
          <order val="1"/>
          <tx>
            <strRef>
              <f>'PHP'!E41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'PHP'!$C$42:$C$49</f>
            </numRef>
          </cat>
          <val>
            <numRef>
              <f>'PHP'!$E$42:$E$49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'PHP'!I41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'PHP'!$C$42:$C$49</f>
            </numRef>
          </cat>
          <val>
            <numRef>
              <f>'PHP'!$I$42:$I$49</f>
            </numRef>
          </val>
        </ser>
        <ser>
          <idx val="1"/>
          <order val="1"/>
          <tx>
            <strRef>
              <f>'PHP'!J41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'PHP'!$C$42:$C$49</f>
            </numRef>
          </cat>
          <val>
            <numRef>
              <f>'PHP'!$J$42:$J$49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'PHP'!D77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'PHP'!$C$78:$C$85</f>
            </numRef>
          </cat>
          <val>
            <numRef>
              <f>'PHP'!$D$78:$D$85</f>
            </numRef>
          </val>
        </ser>
        <ser>
          <idx val="1"/>
          <order val="1"/>
          <tx>
            <strRef>
              <f>'PHP'!E77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'PHP'!$C$78:$C$85</f>
            </numRef>
          </cat>
          <val>
            <numRef>
              <f>'PHP'!$E$78:$E$85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'PHP'!I77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'PHP'!$C$78:$C$85</f>
            </numRef>
          </cat>
          <val>
            <numRef>
              <f>'PHP'!$I$78:$I$85</f>
            </numRef>
          </val>
        </ser>
        <ser>
          <idx val="1"/>
          <order val="1"/>
          <tx>
            <strRef>
              <f>'PHP'!J77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'PHP'!$C$78:$C$85</f>
            </numRef>
          </cat>
          <val>
            <numRef>
              <f>'PHP'!$J$78:$J$85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'Go'!$C$6:$C$13</f>
            </numRef>
          </cat>
          <val>
            <numRef>
              <f>'Go'!$D$6:$D$13</f>
            </numRef>
          </val>
        </ser>
        <ser>
          <idx val="1"/>
          <order val="1"/>
          <tx>
            <strRef>
              <f>'Go'!E5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'Go'!$C$6:$C$13</f>
            </numRef>
          </cat>
          <val>
            <numRef>
              <f>'Go'!$E$6:$E$13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'Go'!$C$6:$C$13</f>
            </numRef>
          </cat>
          <val>
            <numRef>
              <f>'Go'!$I$6:$I$13</f>
            </numRef>
          </val>
        </ser>
        <ser>
          <idx val="1"/>
          <order val="1"/>
          <tx>
            <strRef>
              <f>'Go'!J5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'Go'!$C$6:$C$13</f>
            </numRef>
          </cat>
          <val>
            <numRef>
              <f>'Go'!$J$6:$J$13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'Go'!D41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'Go'!$C$42:$C$49</f>
            </numRef>
          </cat>
          <val>
            <numRef>
              <f>'Go'!$D$42:$D$49</f>
            </numRef>
          </val>
        </ser>
        <ser>
          <idx val="1"/>
          <order val="1"/>
          <tx>
            <strRef>
              <f>'Go'!E41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'Go'!$C$42:$C$49</f>
            </numRef>
          </cat>
          <val>
            <numRef>
              <f>'Go'!$E$42:$E$49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'Go'!I41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'Go'!$C$42:$C$49</f>
            </numRef>
          </cat>
          <val>
            <numRef>
              <f>'Go'!$I$42:$I$49</f>
            </numRef>
          </val>
        </ser>
        <ser>
          <idx val="1"/>
          <order val="1"/>
          <tx>
            <strRef>
              <f>'Go'!J41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'Go'!$C$42:$C$49</f>
            </numRef>
          </cat>
          <val>
            <numRef>
              <f>'Go'!$J$42:$J$49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'Go'!D77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'Go'!$C$78:$C$85</f>
            </numRef>
          </cat>
          <val>
            <numRef>
              <f>'Go'!$D$78:$D$85</f>
            </numRef>
          </val>
        </ser>
        <ser>
          <idx val="1"/>
          <order val="1"/>
          <tx>
            <strRef>
              <f>'Go'!E77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'Go'!$C$78:$C$85</f>
            </numRef>
          </cat>
          <val>
            <numRef>
              <f>'Go'!$E$78:$E$85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'Go'!I77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'Go'!$C$78:$C$85</f>
            </numRef>
          </cat>
          <val>
            <numRef>
              <f>'Go'!$I$78:$I$85</f>
            </numRef>
          </val>
        </ser>
        <ser>
          <idx val="1"/>
          <order val="1"/>
          <tx>
            <strRef>
              <f>'Go'!J77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'Go'!$C$78:$C$85</f>
            </numRef>
          </cat>
          <val>
            <numRef>
              <f>'Go'!$J$78:$J$85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'Java'!$C$6:$C$13</f>
            </numRef>
          </cat>
          <val>
            <numRef>
              <f>'Java'!$D$6:$D$13</f>
            </numRef>
          </val>
        </ser>
        <ser>
          <idx val="1"/>
          <order val="1"/>
          <tx>
            <strRef>
              <f>'Java'!E5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'Java'!$C$6:$C$13</f>
            </numRef>
          </cat>
          <val>
            <numRef>
              <f>'Java'!$E$6:$E$13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'Java'!$C$6:$C$13</f>
            </numRef>
          </cat>
          <val>
            <numRef>
              <f>'Java'!$I$6:$I$13</f>
            </numRef>
          </val>
        </ser>
        <ser>
          <idx val="1"/>
          <order val="1"/>
          <tx>
            <strRef>
              <f>'Java'!J5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'Java'!$C$6:$C$13</f>
            </numRef>
          </cat>
          <val>
            <numRef>
              <f>'Java'!$J$6:$J$13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'Java'!D41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'Java'!$C$42:$C$49</f>
            </numRef>
          </cat>
          <val>
            <numRef>
              <f>'Java'!$D$42:$D$49</f>
            </numRef>
          </val>
        </ser>
        <ser>
          <idx val="1"/>
          <order val="1"/>
          <tx>
            <strRef>
              <f>'Java'!E41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'Java'!$C$42:$C$49</f>
            </numRef>
          </cat>
          <val>
            <numRef>
              <f>'Java'!$E$42:$E$49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'Java'!I41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'Java'!$C$42:$C$49</f>
            </numRef>
          </cat>
          <val>
            <numRef>
              <f>'Java'!$I$42:$I$49</f>
            </numRef>
          </val>
        </ser>
        <ser>
          <idx val="1"/>
          <order val="1"/>
          <tx>
            <strRef>
              <f>'Java'!J41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'Java'!$C$42:$C$49</f>
            </numRef>
          </cat>
          <val>
            <numRef>
              <f>'Java'!$J$42:$J$49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'Java'!D77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'Java'!$C$78:$C$85</f>
            </numRef>
          </cat>
          <val>
            <numRef>
              <f>'Java'!$D$78:$D$85</f>
            </numRef>
          </val>
        </ser>
        <ser>
          <idx val="1"/>
          <order val="1"/>
          <tx>
            <strRef>
              <f>'Java'!E77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'Java'!$C$78:$C$85</f>
            </numRef>
          </cat>
          <val>
            <numRef>
              <f>'Java'!$E$78:$E$85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'Java'!I77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'Java'!$C$78:$C$85</f>
            </numRef>
          </cat>
          <val>
            <numRef>
              <f>'Java'!$I$78:$I$85</f>
            </numRef>
          </val>
        </ser>
        <ser>
          <idx val="1"/>
          <order val="1"/>
          <tx>
            <strRef>
              <f>'Java'!J77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'Java'!$C$78:$C$85</f>
            </numRef>
          </cat>
          <val>
            <numRef>
              <f>'Java'!$J$78:$J$85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 (opt.)'!$C$6:$C$13</f>
            </numRef>
          </cat>
          <val>
            <numRef>
              <f>'Python (opt.)'!$D$6:$D$13</f>
            </numRef>
          </val>
        </ser>
        <ser>
          <idx val="1"/>
          <order val="1"/>
          <tx>
            <strRef>
              <f>'Python (opt.)'!E5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 (opt.)'!$C$6:$C$13</f>
            </numRef>
          </cat>
          <val>
            <numRef>
              <f>'Python (opt.)'!$E$6:$E$13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 (opt.)'!$C$6:$C$13</f>
            </numRef>
          </cat>
          <val>
            <numRef>
              <f>'Python (opt.)'!$I$6:$I$13</f>
            </numRef>
          </val>
        </ser>
        <ser>
          <idx val="1"/>
          <order val="1"/>
          <tx>
            <strRef>
              <f>'Python (opt.)'!J5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 (opt.)'!$C$6:$C$13</f>
            </numRef>
          </cat>
          <val>
            <numRef>
              <f>'Python (opt.)'!$J$6:$J$13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(opt.)'!D41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 (opt.)'!$C$42:$C$49</f>
            </numRef>
          </cat>
          <val>
            <numRef>
              <f>'Python (opt.)'!$D$42:$D$49</f>
            </numRef>
          </val>
        </ser>
        <ser>
          <idx val="1"/>
          <order val="1"/>
          <tx>
            <strRef>
              <f>'Python (opt.)'!E41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 (opt.)'!$C$42:$C$49</f>
            </numRef>
          </cat>
          <val>
            <numRef>
              <f>'Python (opt.)'!$E$42:$E$49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(opt.)'!I41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 (opt.)'!$C$42:$C$49</f>
            </numRef>
          </cat>
          <val>
            <numRef>
              <f>'Python (opt.)'!$I$42:$I$49</f>
            </numRef>
          </val>
        </ser>
        <ser>
          <idx val="1"/>
          <order val="1"/>
          <tx>
            <strRef>
              <f>'Python (opt.)'!J41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 (opt.)'!$C$42:$C$49</f>
            </numRef>
          </cat>
          <val>
            <numRef>
              <f>'Python (opt.)'!$J$42:$J$49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(opt.)'!D77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 (opt.)'!$C$78:$C$85</f>
            </numRef>
          </cat>
          <val>
            <numRef>
              <f>'Python (opt.)'!$D$78:$D$85</f>
            </numRef>
          </val>
        </ser>
        <ser>
          <idx val="1"/>
          <order val="1"/>
          <tx>
            <strRef>
              <f>'Python (opt.)'!E77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 (opt.)'!$C$78:$C$85</f>
            </numRef>
          </cat>
          <val>
            <numRef>
              <f>'Python (opt.)'!$E$78:$E$85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(opt.)'!I77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 (opt.)'!$C$78:$C$85</f>
            </numRef>
          </cat>
          <val>
            <numRef>
              <f>'Python (opt.)'!$I$78:$I$85</f>
            </numRef>
          </val>
        </ser>
        <ser>
          <idx val="1"/>
          <order val="1"/>
          <tx>
            <strRef>
              <f>'Python (opt.)'!J77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 (opt.)'!$C$78:$C$85</f>
            </numRef>
          </cat>
          <val>
            <numRef>
              <f>'Python (opt.)'!$J$78:$J$85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Relationship Type="http://schemas.openxmlformats.org/officeDocument/2006/relationships/chart" Target="/xl/charts/chart13.xml" Id="rId5"/><Relationship Type="http://schemas.openxmlformats.org/officeDocument/2006/relationships/chart" Target="/xl/charts/chart14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Relationship Type="http://schemas.openxmlformats.org/officeDocument/2006/relationships/chart" Target="/xl/charts/chart23.xml" Id="rId3"/><Relationship Type="http://schemas.openxmlformats.org/officeDocument/2006/relationships/chart" Target="/xl/charts/chart24.xml" Id="rId4"/><Relationship Type="http://schemas.openxmlformats.org/officeDocument/2006/relationships/chart" Target="/xl/charts/chart25.xml" Id="rId5"/><Relationship Type="http://schemas.openxmlformats.org/officeDocument/2006/relationships/chart" Target="/xl/charts/chart26.xml" Id="rId6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Relationship Type="http://schemas.openxmlformats.org/officeDocument/2006/relationships/chart" Target="/xl/charts/chart29.xml" Id="rId3"/><Relationship Type="http://schemas.openxmlformats.org/officeDocument/2006/relationships/chart" Target="/xl/charts/chart30.xml" Id="rId4"/><Relationship Type="http://schemas.openxmlformats.org/officeDocument/2006/relationships/chart" Target="/xl/charts/chart31.xml" Id="rId5"/><Relationship Type="http://schemas.openxmlformats.org/officeDocument/2006/relationships/chart" Target="/xl/charts/chart32.xml" Id="rId6"/></Relationships>
</file>

<file path=xl/drawings/_rels/drawing7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Relationship Type="http://schemas.openxmlformats.org/officeDocument/2006/relationships/chart" Target="/xl/charts/chart35.xml" Id="rId3"/><Relationship Type="http://schemas.openxmlformats.org/officeDocument/2006/relationships/chart" Target="/xl/charts/chart36.xml" Id="rId4"/><Relationship Type="http://schemas.openxmlformats.org/officeDocument/2006/relationships/chart" Target="/xl/charts/chart37.xml" Id="rId5"/><Relationship Type="http://schemas.openxmlformats.org/officeDocument/2006/relationships/chart" Target="/xl/charts/chart38.xml" Id="rId6"/></Relationships>
</file>

<file path=xl/drawings/drawing1.xml><?xml version="1.0" encoding="utf-8"?>
<wsDr xmlns="http://schemas.openxmlformats.org/drawingml/2006/spreadsheetDrawing">
  <oneCellAnchor>
    <from>
      <col>14</col>
      <colOff>0</colOff>
      <row>7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20</row>
      <rowOff>0</rowOff>
    </from>
    <ext cx="61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27" customWidth="1" min="2" max="2"/>
    <col width="14" customWidth="1" min="3" max="3"/>
    <col width="11" customWidth="1" min="4" max="4"/>
    <col width="28" customWidth="1" min="5" max="5"/>
    <col width="14" customWidth="1" min="6" max="6"/>
    <col width="31" customWidth="1" min="7" max="7"/>
    <col width="26" customWidth="1" min="8" max="8"/>
    <col width="15" customWidth="1" min="9" max="9"/>
    <col width="18" customWidth="1" min="10" max="10"/>
    <col width="27" customWidth="1" min="11" max="11"/>
    <col width="16" customWidth="1" min="12" max="12"/>
    <col width="13" customWidth="1" min="13" max="13"/>
  </cols>
  <sheetData>
    <row r="1" ht="26" customHeight="1">
      <c r="A1" s="1" t="inlineStr">
        <is>
          <t>PROGRAMMING BENCHMARK - EXECUTIVE PERFORMANCE DASHBOARD</t>
        </is>
      </c>
    </row>
    <row r="2" ht="18" customHeight="1">
      <c r="A2" s="2" t="inlineStr">
        <is>
          <t>Multi-Language Web Framework Evaluation: Docker Containerization vs Bare Metal (Host)</t>
        </is>
      </c>
    </row>
    <row r="3" ht="10" customHeight="1"/>
    <row r="4">
      <c r="B4" s="3" t="inlineStr">
        <is>
          <t>TOP THROUGHPUT FRAMEWORK</t>
        </is>
      </c>
      <c r="C4" s="4" t="n"/>
      <c r="E4" s="3" t="inlineStr">
        <is>
          <t>AVG CONTAINER OVERHEAD</t>
        </is>
      </c>
      <c r="F4" s="4" t="n"/>
      <c r="H4" s="3" t="inlineStr">
        <is>
          <t>SECONDARY INDEX SPEEDUP</t>
        </is>
      </c>
      <c r="I4" s="4" t="n"/>
      <c r="K4" s="3" t="inlineStr">
        <is>
          <t>TOTAL METRIC DATA POINTS</t>
        </is>
      </c>
      <c r="L4" s="4" t="n"/>
    </row>
    <row r="5">
      <c r="B5" s="5" t="inlineStr">
        <is>
          <t>Go (Fiber)</t>
        </is>
      </c>
      <c r="C5" s="4" t="n"/>
      <c r="E5" s="5" t="inlineStr">
        <is>
          <t>-14.8%</t>
        </is>
      </c>
      <c r="F5" s="4" t="n"/>
      <c r="H5" s="5" t="inlineStr">
        <is>
          <t>24.6x</t>
        </is>
      </c>
      <c r="I5" s="4" t="n"/>
      <c r="K5" s="5" t="inlineStr">
        <is>
          <t>2,000 Runs</t>
        </is>
      </c>
      <c r="L5" s="4" t="n"/>
    </row>
    <row r="6">
      <c r="B6" s="6" t="inlineStr">
        <is>
          <t>Peak: 27,030 Req/s (BME)</t>
        </is>
      </c>
      <c r="C6" s="4" t="n"/>
      <c r="E6" s="6" t="inlineStr">
        <is>
          <t>Throughput Loss in Docker</t>
        </is>
      </c>
      <c r="F6" s="4" t="n"/>
      <c r="H6" s="6" t="inlineStr">
        <is>
          <t>Indexed vs Full Scan</t>
        </is>
      </c>
      <c r="I6" s="4" t="n"/>
      <c r="K6" s="6" t="inlineStr">
        <is>
          <t>20 Iterations / Endpoint</t>
        </is>
      </c>
      <c r="L6" s="4" t="n"/>
    </row>
    <row r="7" ht="14" customHeight="1"/>
    <row r="8" ht="24" customHeight="1">
      <c r="A8" s="7" t="inlineStr">
        <is>
          <t>EXECUTIVE COMPARISON MATRIX: DOCKER VS BARE METAL BY FRAMEWORK (Light / POC Tier)</t>
        </is>
      </c>
    </row>
    <row r="9" ht="22" customHeight="1">
      <c r="A9" s="8" t="inlineStr">
        <is>
          <t>Suite</t>
        </is>
      </c>
      <c r="B9" s="8" t="inlineStr">
        <is>
          <t>Language</t>
        </is>
      </c>
      <c r="C9" s="8" t="inlineStr">
        <is>
          <t>Framework</t>
        </is>
      </c>
      <c r="D9" s="8" t="inlineStr">
        <is>
          <t>Tier</t>
        </is>
      </c>
      <c r="E9" s="8" t="inlineStr">
        <is>
          <t>Docker (Req/s)</t>
        </is>
      </c>
      <c r="F9" s="8" t="inlineStr">
        <is>
          <t>BME (Req/s)</t>
        </is>
      </c>
      <c r="G9" s="8" t="inlineStr">
        <is>
          <t>BME Gain (%)</t>
        </is>
      </c>
      <c r="H9" s="8" t="inlineStr">
        <is>
          <t>Docker Lat (ms)</t>
        </is>
      </c>
      <c r="I9" s="8" t="inlineStr">
        <is>
          <t>BME Lat (ms)</t>
        </is>
      </c>
      <c r="J9" s="8" t="inlineStr">
        <is>
          <t>Docker P95 (ms)</t>
        </is>
      </c>
      <c r="K9" s="8" t="inlineStr">
        <is>
          <t>BME P95 (ms)</t>
        </is>
      </c>
      <c r="L9" s="8" t="inlineStr">
        <is>
          <t>Docker Errors</t>
        </is>
      </c>
      <c r="M9" s="8" t="inlineStr">
        <is>
          <t>BME Errors</t>
        </is>
      </c>
    </row>
    <row r="10" ht="20" customHeight="1">
      <c r="A10" s="9" t="inlineStr">
        <is>
          <t>GET No-Index</t>
        </is>
      </c>
      <c r="B10" s="10" t="inlineStr">
        <is>
          <t>Python</t>
        </is>
      </c>
      <c r="C10" s="9" t="inlineStr">
        <is>
          <t>FastAPI</t>
        </is>
      </c>
      <c r="D10" s="9" t="inlineStr">
        <is>
          <t>POC</t>
        </is>
      </c>
      <c r="E10" s="11" t="n">
        <v>2288.6</v>
      </c>
      <c r="F10" s="11" t="n">
        <v>449.78</v>
      </c>
      <c r="G10" s="12">
        <f>IF(E10&gt;0, (F10-E10)/E10, 0)</f>
        <v/>
      </c>
      <c r="H10" s="11" t="n">
        <v>8.92</v>
      </c>
      <c r="I10" s="11" t="n">
        <v>44.41</v>
      </c>
      <c r="J10" s="11" t="n">
        <v>16.19</v>
      </c>
      <c r="K10" s="11" t="n">
        <v>46.29</v>
      </c>
      <c r="L10" s="13" t="n">
        <v>0</v>
      </c>
      <c r="M10" s="13" t="n">
        <v>0</v>
      </c>
    </row>
    <row r="11" ht="20" customHeight="1">
      <c r="A11" s="14" t="inlineStr">
        <is>
          <t>GET No-Index</t>
        </is>
      </c>
      <c r="B11" s="15" t="inlineStr">
        <is>
          <t>Node.js</t>
        </is>
      </c>
      <c r="C11" s="14" t="inlineStr">
        <is>
          <t>Fastify</t>
        </is>
      </c>
      <c r="D11" s="14" t="inlineStr">
        <is>
          <t>POC</t>
        </is>
      </c>
      <c r="E11" s="16" t="n">
        <v>2323.77</v>
      </c>
      <c r="F11" s="16" t="n">
        <v>9370.35</v>
      </c>
      <c r="G11" s="17">
        <f>IF(E11&gt;0, (F11-E11)/E11, 0)</f>
        <v/>
      </c>
      <c r="H11" s="16" t="n">
        <v>8.710000000000001</v>
      </c>
      <c r="I11" s="16" t="n">
        <v>4.44</v>
      </c>
      <c r="J11" s="16" t="n">
        <v>15.86</v>
      </c>
      <c r="K11" s="16" t="n">
        <v>13.65</v>
      </c>
      <c r="L11" s="18" t="n">
        <v>0</v>
      </c>
      <c r="M11" s="18" t="n">
        <v>0</v>
      </c>
    </row>
    <row r="12" ht="20" customHeight="1">
      <c r="A12" s="9" t="inlineStr">
        <is>
          <t>GET No-Index</t>
        </is>
      </c>
      <c r="B12" s="10" t="inlineStr">
        <is>
          <t>PHP</t>
        </is>
      </c>
      <c r="C12" s="9" t="inlineStr">
        <is>
          <t>Swoole</t>
        </is>
      </c>
      <c r="D12" s="9" t="inlineStr">
        <is>
          <t>POC</t>
        </is>
      </c>
      <c r="E12" s="11" t="n">
        <v>12918.52</v>
      </c>
      <c r="F12" s="11" t="n">
        <v>15043.28</v>
      </c>
      <c r="G12" s="17">
        <f>IF(E12&gt;0, (F12-E12)/E12, 0)</f>
        <v/>
      </c>
      <c r="H12" s="11" t="n">
        <v>1.57</v>
      </c>
      <c r="I12" s="11" t="n">
        <v>1.48</v>
      </c>
      <c r="J12" s="11" t="n">
        <v>2.99</v>
      </c>
      <c r="K12" s="11" t="n">
        <v>3.45</v>
      </c>
      <c r="L12" s="13" t="n">
        <v>0</v>
      </c>
      <c r="M12" s="13" t="n">
        <v>0</v>
      </c>
    </row>
    <row r="13" ht="20" customHeight="1">
      <c r="A13" s="14" t="inlineStr">
        <is>
          <t>GET No-Index</t>
        </is>
      </c>
      <c r="B13" s="15" t="inlineStr">
        <is>
          <t>Go</t>
        </is>
      </c>
      <c r="C13" s="14" t="inlineStr">
        <is>
          <t>Fiber</t>
        </is>
      </c>
      <c r="D13" s="14" t="inlineStr">
        <is>
          <t>POC</t>
        </is>
      </c>
      <c r="E13" s="16" t="n">
        <v>7850.23</v>
      </c>
      <c r="F13" s="16" t="n">
        <v>9711.190000000001</v>
      </c>
      <c r="G13" s="17">
        <f>IF(E13&gt;0, (F13-E13)/E13, 0)</f>
        <v/>
      </c>
      <c r="H13" s="16" t="n">
        <v>2.53</v>
      </c>
      <c r="I13" s="16" t="n">
        <v>2.03</v>
      </c>
      <c r="J13" s="16" t="n">
        <v>4.15</v>
      </c>
      <c r="K13" s="16" t="n">
        <v>3.56</v>
      </c>
      <c r="L13" s="18" t="n">
        <v>0</v>
      </c>
      <c r="M13" s="18" t="n">
        <v>0</v>
      </c>
    </row>
    <row r="14" ht="20" customHeight="1">
      <c r="A14" s="9" t="inlineStr">
        <is>
          <t>GET No-Index</t>
        </is>
      </c>
      <c r="B14" s="10" t="inlineStr">
        <is>
          <t>Java</t>
        </is>
      </c>
      <c r="C14" s="9" t="inlineStr">
        <is>
          <t>Spring Boot</t>
        </is>
      </c>
      <c r="D14" s="9" t="inlineStr">
        <is>
          <t>POC</t>
        </is>
      </c>
      <c r="E14" s="11" t="n">
        <v>9105.18</v>
      </c>
      <c r="F14" s="11" t="n">
        <v>11762.53</v>
      </c>
      <c r="G14" s="17">
        <f>IF(E14&gt;0, (F14-E14)/E14, 0)</f>
        <v/>
      </c>
      <c r="H14" s="11" t="n">
        <v>2.19</v>
      </c>
      <c r="I14" s="11" t="n">
        <v>1.68</v>
      </c>
      <c r="J14" s="11" t="n">
        <v>3.38</v>
      </c>
      <c r="K14" s="11" t="n">
        <v>2.67</v>
      </c>
      <c r="L14" s="13" t="n">
        <v>0</v>
      </c>
      <c r="M14" s="13" t="n">
        <v>0</v>
      </c>
    </row>
    <row r="15" ht="20" customHeight="1">
      <c r="A15" s="14" t="inlineStr">
        <is>
          <t>GET With-Index</t>
        </is>
      </c>
      <c r="B15" s="15" t="inlineStr">
        <is>
          <t>Python</t>
        </is>
      </c>
      <c r="C15" s="14" t="inlineStr">
        <is>
          <t>FastAPI</t>
        </is>
      </c>
      <c r="D15" s="14" t="inlineStr">
        <is>
          <t>POC</t>
        </is>
      </c>
      <c r="E15" s="16" t="n">
        <v>2279.05</v>
      </c>
      <c r="F15" s="16" t="n">
        <v>449.66</v>
      </c>
      <c r="G15" s="12">
        <f>IF(E15&gt;0, (F15-E15)/E15, 0)</f>
        <v/>
      </c>
      <c r="H15" s="16" t="n">
        <v>8.92</v>
      </c>
      <c r="I15" s="16" t="n">
        <v>44.43</v>
      </c>
      <c r="J15" s="16" t="n">
        <v>15.6</v>
      </c>
      <c r="K15" s="16" t="n">
        <v>46.06</v>
      </c>
      <c r="L15" s="18" t="n">
        <v>0</v>
      </c>
      <c r="M15" s="18" t="n">
        <v>0</v>
      </c>
    </row>
    <row r="16" ht="20" customHeight="1">
      <c r="A16" s="9" t="inlineStr">
        <is>
          <t>GET With-Index</t>
        </is>
      </c>
      <c r="B16" s="10" t="inlineStr">
        <is>
          <t>Node.js</t>
        </is>
      </c>
      <c r="C16" s="9" t="inlineStr">
        <is>
          <t>Fastify</t>
        </is>
      </c>
      <c r="D16" s="9" t="inlineStr">
        <is>
          <t>POC</t>
        </is>
      </c>
      <c r="E16" s="11" t="n">
        <v>2324.28</v>
      </c>
      <c r="F16" s="11" t="n">
        <v>11396.15</v>
      </c>
      <c r="G16" s="17">
        <f>IF(E16&gt;0, (F16-E16)/E16, 0)</f>
        <v/>
      </c>
      <c r="H16" s="11" t="n">
        <v>8.710000000000001</v>
      </c>
      <c r="I16" s="11" t="n">
        <v>1.74</v>
      </c>
      <c r="J16" s="11" t="n">
        <v>15.89</v>
      </c>
      <c r="K16" s="11" t="n">
        <v>2.48</v>
      </c>
      <c r="L16" s="13" t="n">
        <v>0</v>
      </c>
      <c r="M16" s="13" t="n">
        <v>0</v>
      </c>
    </row>
    <row r="17" ht="20" customHeight="1">
      <c r="A17" s="14" t="inlineStr">
        <is>
          <t>GET With-Index</t>
        </is>
      </c>
      <c r="B17" s="15" t="inlineStr">
        <is>
          <t>PHP</t>
        </is>
      </c>
      <c r="C17" s="14" t="inlineStr">
        <is>
          <t>Swoole</t>
        </is>
      </c>
      <c r="D17" s="14" t="inlineStr">
        <is>
          <t>POC</t>
        </is>
      </c>
      <c r="E17" s="16" t="n">
        <v>12932.29</v>
      </c>
      <c r="F17" s="16" t="n">
        <v>15418.73</v>
      </c>
      <c r="G17" s="17">
        <f>IF(E17&gt;0, (F17-E17)/E17, 0)</f>
        <v/>
      </c>
      <c r="H17" s="16" t="n">
        <v>1.56</v>
      </c>
      <c r="I17" s="16" t="n">
        <v>1.4</v>
      </c>
      <c r="J17" s="16" t="n">
        <v>2.91</v>
      </c>
      <c r="K17" s="16" t="n">
        <v>3.19</v>
      </c>
      <c r="L17" s="18" t="n">
        <v>0</v>
      </c>
      <c r="M17" s="18" t="n">
        <v>0</v>
      </c>
    </row>
    <row r="18" ht="20" customHeight="1">
      <c r="A18" s="9" t="inlineStr">
        <is>
          <t>GET With-Index</t>
        </is>
      </c>
      <c r="B18" s="10" t="inlineStr">
        <is>
          <t>Go</t>
        </is>
      </c>
      <c r="C18" s="9" t="inlineStr">
        <is>
          <t>Fiber</t>
        </is>
      </c>
      <c r="D18" s="9" t="inlineStr">
        <is>
          <t>POC</t>
        </is>
      </c>
      <c r="E18" s="11" t="n">
        <v>8027.43</v>
      </c>
      <c r="F18" s="11" t="n">
        <v>9867.879999999999</v>
      </c>
      <c r="G18" s="17">
        <f>IF(E18&gt;0, (F18-E18)/E18, 0)</f>
        <v/>
      </c>
      <c r="H18" s="11" t="n">
        <v>2.47</v>
      </c>
      <c r="I18" s="11" t="n">
        <v>2</v>
      </c>
      <c r="J18" s="11" t="n">
        <v>4.05</v>
      </c>
      <c r="K18" s="11" t="n">
        <v>3.5</v>
      </c>
      <c r="L18" s="13" t="n">
        <v>0</v>
      </c>
      <c r="M18" s="13" t="n">
        <v>0</v>
      </c>
    </row>
    <row r="19" ht="20" customHeight="1">
      <c r="A19" s="14" t="inlineStr">
        <is>
          <t>GET With-Index</t>
        </is>
      </c>
      <c r="B19" s="15" t="inlineStr">
        <is>
          <t>Java</t>
        </is>
      </c>
      <c r="C19" s="14" t="inlineStr">
        <is>
          <t>Spring Boot</t>
        </is>
      </c>
      <c r="D19" s="14" t="inlineStr">
        <is>
          <t>POC</t>
        </is>
      </c>
      <c r="E19" s="16" t="n">
        <v>9208.99</v>
      </c>
      <c r="F19" s="16" t="n">
        <v>11829.43</v>
      </c>
      <c r="G19" s="17">
        <f>IF(E19&gt;0, (F19-E19)/E19, 0)</f>
        <v/>
      </c>
      <c r="H19" s="16" t="n">
        <v>2.16</v>
      </c>
      <c r="I19" s="16" t="n">
        <v>1.67</v>
      </c>
      <c r="J19" s="16" t="n">
        <v>3.33</v>
      </c>
      <c r="K19" s="16" t="n">
        <v>2.67</v>
      </c>
      <c r="L19" s="18" t="n">
        <v>0</v>
      </c>
      <c r="M19" s="18" t="n">
        <v>0</v>
      </c>
    </row>
    <row r="20" ht="20" customHeight="1">
      <c r="A20" s="9" t="inlineStr">
        <is>
          <t>POST</t>
        </is>
      </c>
      <c r="B20" s="10" t="inlineStr">
        <is>
          <t>Python</t>
        </is>
      </c>
      <c r="C20" s="9" t="inlineStr">
        <is>
          <t>FastAPI</t>
        </is>
      </c>
      <c r="D20" s="9" t="inlineStr">
        <is>
          <t>POC</t>
        </is>
      </c>
      <c r="E20" s="11" t="n">
        <v>9324.9</v>
      </c>
      <c r="F20" s="11" t="n">
        <v>10087.07</v>
      </c>
      <c r="G20" s="17">
        <f>IF(E20&gt;0, (F20-E20)/E20, 0)</f>
        <v/>
      </c>
      <c r="H20" s="11" t="n">
        <v>2.31</v>
      </c>
      <c r="I20" s="11" t="n">
        <v>2.42</v>
      </c>
      <c r="J20" s="11" t="n">
        <v>4.11</v>
      </c>
      <c r="K20" s="11" t="n">
        <v>3.4</v>
      </c>
      <c r="L20" s="13" t="n">
        <v>0</v>
      </c>
      <c r="M20" s="13" t="n">
        <v>0</v>
      </c>
    </row>
    <row r="21" ht="20" customHeight="1">
      <c r="A21" s="14" t="inlineStr">
        <is>
          <t>POST</t>
        </is>
      </c>
      <c r="B21" s="15" t="inlineStr">
        <is>
          <t>Node.js</t>
        </is>
      </c>
      <c r="C21" s="14" t="inlineStr">
        <is>
          <t>Fastify</t>
        </is>
      </c>
      <c r="D21" s="14" t="inlineStr">
        <is>
          <t>POC</t>
        </is>
      </c>
      <c r="E21" s="16" t="n">
        <v>10604.52</v>
      </c>
      <c r="F21" s="16" t="n">
        <v>14308.05</v>
      </c>
      <c r="G21" s="17">
        <f>IF(E21&gt;0, (F21-E21)/E21, 0)</f>
        <v/>
      </c>
      <c r="H21" s="16" t="n">
        <v>2.07</v>
      </c>
      <c r="I21" s="16" t="n">
        <v>1.65</v>
      </c>
      <c r="J21" s="16" t="n">
        <v>3.83</v>
      </c>
      <c r="K21" s="16" t="n">
        <v>2.83</v>
      </c>
      <c r="L21" s="18" t="n">
        <v>0</v>
      </c>
      <c r="M21" s="18" t="n">
        <v>0</v>
      </c>
    </row>
    <row r="22" ht="20" customHeight="1">
      <c r="A22" s="9" t="inlineStr">
        <is>
          <t>POST</t>
        </is>
      </c>
      <c r="B22" s="10" t="inlineStr">
        <is>
          <t>PHP</t>
        </is>
      </c>
      <c r="C22" s="9" t="inlineStr">
        <is>
          <t>Swoole</t>
        </is>
      </c>
      <c r="D22" s="9" t="inlineStr">
        <is>
          <t>POC</t>
        </is>
      </c>
      <c r="E22" s="11" t="n">
        <v>12581.47</v>
      </c>
      <c r="F22" s="11" t="n">
        <v>18730.75</v>
      </c>
      <c r="G22" s="17">
        <f>IF(E22&gt;0, (F22-E22)/E22, 0)</f>
        <v/>
      </c>
      <c r="H22" s="11" t="n">
        <v>2.27</v>
      </c>
      <c r="I22" s="11" t="n">
        <v>1.41</v>
      </c>
      <c r="J22" s="11" t="n">
        <v>4.5</v>
      </c>
      <c r="K22" s="11" t="n">
        <v>3.34</v>
      </c>
      <c r="L22" s="13" t="n">
        <v>0</v>
      </c>
      <c r="M22" s="13" t="n">
        <v>0</v>
      </c>
    </row>
    <row r="23" ht="20" customHeight="1">
      <c r="A23" s="14" t="inlineStr">
        <is>
          <t>POST</t>
        </is>
      </c>
      <c r="B23" s="15" t="inlineStr">
        <is>
          <t>Go</t>
        </is>
      </c>
      <c r="C23" s="14" t="inlineStr">
        <is>
          <t>Fiber</t>
        </is>
      </c>
      <c r="D23" s="14" t="inlineStr">
        <is>
          <t>POC</t>
        </is>
      </c>
      <c r="E23" s="16" t="n">
        <v>9833.5</v>
      </c>
      <c r="F23" s="16" t="n">
        <v>12905.17</v>
      </c>
      <c r="G23" s="17">
        <f>IF(E23&gt;0, (F23-E23)/E23, 0)</f>
        <v/>
      </c>
      <c r="H23" s="16" t="n">
        <v>2.81</v>
      </c>
      <c r="I23" s="16" t="n">
        <v>1.74</v>
      </c>
      <c r="J23" s="16" t="n">
        <v>4.21</v>
      </c>
      <c r="K23" s="16" t="n">
        <v>3.29</v>
      </c>
      <c r="L23" s="18" t="n">
        <v>0</v>
      </c>
      <c r="M23" s="18" t="n">
        <v>0</v>
      </c>
    </row>
    <row r="24" ht="20" customHeight="1">
      <c r="A24" s="9" t="inlineStr">
        <is>
          <t>POST</t>
        </is>
      </c>
      <c r="B24" s="10" t="inlineStr">
        <is>
          <t>Java</t>
        </is>
      </c>
      <c r="C24" s="9" t="inlineStr">
        <is>
          <t>Spring Boot</t>
        </is>
      </c>
      <c r="D24" s="9" t="inlineStr">
        <is>
          <t>POC</t>
        </is>
      </c>
      <c r="E24" s="11" t="n">
        <v>9774.09</v>
      </c>
      <c r="F24" s="11" t="n">
        <v>12851.51</v>
      </c>
      <c r="G24" s="17">
        <f>IF(E24&gt;0, (F24-E24)/E24, 0)</f>
        <v/>
      </c>
      <c r="H24" s="11" t="n">
        <v>2.21</v>
      </c>
      <c r="I24" s="11" t="n">
        <v>1.79</v>
      </c>
      <c r="J24" s="11" t="n">
        <v>4.14</v>
      </c>
      <c r="K24" s="11" t="n">
        <v>3.49</v>
      </c>
      <c r="L24" s="13" t="n">
        <v>0</v>
      </c>
      <c r="M24" s="13" t="n">
        <v>0</v>
      </c>
    </row>
  </sheetData>
  <mergeCells count="15">
    <mergeCell ref="B6:C6"/>
    <mergeCell ref="E4:F4"/>
    <mergeCell ref="E6:F6"/>
    <mergeCell ref="A1:M1"/>
    <mergeCell ref="H6:I6"/>
    <mergeCell ref="A8:M8"/>
    <mergeCell ref="B5:C5"/>
    <mergeCell ref="K6:L6"/>
    <mergeCell ref="E5:F5"/>
    <mergeCell ref="K5:L5"/>
    <mergeCell ref="H5:I5"/>
    <mergeCell ref="H4:I4"/>
    <mergeCell ref="K4:L4"/>
    <mergeCell ref="A2:M2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PYTHON (FASTAPI) - DETAILED BENCHMARK SPECIFICATION</t>
        </is>
      </c>
    </row>
    <row r="2" ht="18" customHeight="1">
      <c r="A2" s="2" t="inlineStr">
        <is>
          <t>Runtime: Python 3.12 (Uvicorn / aiomysql)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9" t="inlineStr">
        <is>
          <t>1table</t>
        </is>
      </c>
      <c r="D6" s="11" t="n">
        <v>2288.6</v>
      </c>
      <c r="E6" s="11" t="n">
        <v>449.78</v>
      </c>
      <c r="F6" s="12">
        <f>IF(D6&gt;0, (E6-D6)/D6, 0)</f>
        <v/>
      </c>
      <c r="G6" s="11" t="n">
        <v>8.92</v>
      </c>
      <c r="H6" s="11" t="n">
        <v>44.41</v>
      </c>
      <c r="I6" s="11" t="n">
        <v>16.19</v>
      </c>
      <c r="J6" s="11" t="n">
        <v>46.29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0" t="inlineStr">
        <is>
          <t>2join</t>
        </is>
      </c>
      <c r="D7" s="16" t="n">
        <v>2583.93</v>
      </c>
      <c r="E7" s="16" t="n">
        <v>448.03</v>
      </c>
      <c r="F7" s="12">
        <f>IF(D7&gt;0, (E7-D7)/D7, 0)</f>
        <v/>
      </c>
      <c r="G7" s="16" t="n">
        <v>7.78</v>
      </c>
      <c r="H7" s="16" t="n">
        <v>44.59</v>
      </c>
      <c r="I7" s="16" t="n">
        <v>12.31</v>
      </c>
      <c r="J7" s="16" t="n">
        <v>46.06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9" t="inlineStr">
        <is>
          <t>3join</t>
        </is>
      </c>
      <c r="D8" s="11" t="n">
        <v>308.21</v>
      </c>
      <c r="E8" s="11" t="n">
        <v>293.44</v>
      </c>
      <c r="F8" s="12">
        <f>IF(D8&gt;0, (E8-D8)/D8, 0)</f>
        <v/>
      </c>
      <c r="G8" s="11" t="n">
        <v>64.81</v>
      </c>
      <c r="H8" s="11" t="n">
        <v>68.05</v>
      </c>
      <c r="I8" s="11" t="n">
        <v>92.84</v>
      </c>
      <c r="J8" s="11" t="n">
        <v>78.55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0" t="inlineStr">
        <is>
          <t>4join</t>
        </is>
      </c>
      <c r="D9" s="16" t="n">
        <v>71.84999999999999</v>
      </c>
      <c r="E9" s="16" t="n">
        <v>70.56999999999999</v>
      </c>
      <c r="F9" s="12">
        <f>IF(D9&gt;0, (E9-D9)/D9, 0)</f>
        <v/>
      </c>
      <c r="G9" s="16" t="n">
        <v>276.98</v>
      </c>
      <c r="H9" s="16" t="n">
        <v>282.05</v>
      </c>
      <c r="I9" s="16" t="n">
        <v>394.91</v>
      </c>
      <c r="J9" s="16" t="n">
        <v>339.45</v>
      </c>
      <c r="K9" s="18" t="n">
        <v>0</v>
      </c>
      <c r="L9" s="18" t="n">
        <v>0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19" t="inlineStr">
        <is>
          <t>1table</t>
        </is>
      </c>
      <c r="D10" s="11" t="n">
        <v>2442.05</v>
      </c>
      <c r="E10" s="11" t="n">
        <v>1950.56</v>
      </c>
      <c r="F10" s="12">
        <f>IF(D10&gt;0, (E10-D10)/D10, 0)</f>
        <v/>
      </c>
      <c r="G10" s="11" t="n">
        <v>41.1</v>
      </c>
      <c r="H10" s="11" t="n">
        <v>51.28</v>
      </c>
      <c r="I10" s="11" t="n">
        <v>64.19</v>
      </c>
      <c r="J10" s="11" t="n">
        <v>65.84999999999999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0" t="inlineStr">
        <is>
          <t>2join</t>
        </is>
      </c>
      <c r="D11" s="16" t="n">
        <v>2845.01</v>
      </c>
      <c r="E11" s="16" t="n">
        <v>1960.29</v>
      </c>
      <c r="F11" s="12">
        <f>IF(D11&gt;0, (E11-D11)/D11, 0)</f>
        <v/>
      </c>
      <c r="G11" s="16" t="n">
        <v>35.14</v>
      </c>
      <c r="H11" s="16" t="n">
        <v>51.13</v>
      </c>
      <c r="I11" s="16" t="n">
        <v>53.02</v>
      </c>
      <c r="J11" s="16" t="n">
        <v>65.06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19" t="inlineStr">
        <is>
          <t>3join</t>
        </is>
      </c>
      <c r="D12" s="11" t="n">
        <v>315.72</v>
      </c>
      <c r="E12" s="11" t="n">
        <v>315.19</v>
      </c>
      <c r="F12" s="21">
        <f>IF(D12&gt;0, (E12-D12)/D12, 0)</f>
        <v/>
      </c>
      <c r="G12" s="11" t="n">
        <v>315.65</v>
      </c>
      <c r="H12" s="11" t="n">
        <v>316.18</v>
      </c>
      <c r="I12" s="11" t="n">
        <v>498.56</v>
      </c>
      <c r="J12" s="11" t="n">
        <v>452.93</v>
      </c>
      <c r="K12" s="13" t="n">
        <v>0</v>
      </c>
      <c r="L12" s="13" t="n">
        <v>0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0" t="inlineStr">
        <is>
          <t>4join</t>
        </is>
      </c>
      <c r="D13" s="16" t="n">
        <v>72.88</v>
      </c>
      <c r="E13" s="16" t="n">
        <v>72.45</v>
      </c>
      <c r="F13" s="22">
        <f>IF(D13&gt;0, (E13-D13)/D13, 0)</f>
        <v/>
      </c>
      <c r="G13" s="16" t="n">
        <v>1350.84</v>
      </c>
      <c r="H13" s="16" t="n">
        <v>1358.48</v>
      </c>
      <c r="I13" s="16" t="n">
        <v>1773.07</v>
      </c>
      <c r="J13" s="16" t="n">
        <v>1735.36</v>
      </c>
      <c r="K13" s="23" t="n">
        <v>515</v>
      </c>
      <c r="L13" s="23" t="n">
        <v>534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19" t="inlineStr">
        <is>
          <t>1table</t>
        </is>
      </c>
      <c r="D14" s="11" t="n">
        <v>2263.24</v>
      </c>
      <c r="E14" s="11" t="n">
        <v>2232.6</v>
      </c>
      <c r="F14" s="12">
        <f>IF(D14&gt;0, (E14-D14)/D14, 0)</f>
        <v/>
      </c>
      <c r="G14" s="11" t="n">
        <v>223.68</v>
      </c>
      <c r="H14" s="11" t="n">
        <v>224.62</v>
      </c>
      <c r="I14" s="11" t="n">
        <v>427.8</v>
      </c>
      <c r="J14" s="11" t="n">
        <v>384.99</v>
      </c>
      <c r="K14" s="13" t="n">
        <v>0</v>
      </c>
      <c r="L14" s="13" t="n">
        <v>0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0" t="inlineStr">
        <is>
          <t>2join</t>
        </is>
      </c>
      <c r="D15" s="16" t="n">
        <v>2536.46</v>
      </c>
      <c r="E15" s="16" t="n">
        <v>2568.77</v>
      </c>
      <c r="F15" s="17">
        <f>IF(D15&gt;0, (E15-D15)/D15, 0)</f>
        <v/>
      </c>
      <c r="G15" s="16" t="n">
        <v>203.19</v>
      </c>
      <c r="H15" s="16" t="n">
        <v>193.76</v>
      </c>
      <c r="I15" s="16" t="n">
        <v>413.12</v>
      </c>
      <c r="J15" s="16" t="n">
        <v>301.66</v>
      </c>
      <c r="K15" s="18" t="n">
        <v>0</v>
      </c>
      <c r="L15" s="18" t="n">
        <v>0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19" t="inlineStr">
        <is>
          <t>3join</t>
        </is>
      </c>
      <c r="D16" s="11" t="n">
        <v>312.48</v>
      </c>
      <c r="E16" s="11" t="n">
        <v>310.45</v>
      </c>
      <c r="F16" s="21">
        <f>IF(D16&gt;0, (E16-D16)/D16, 0)</f>
        <v/>
      </c>
      <c r="G16" s="11" t="n">
        <v>1318.84</v>
      </c>
      <c r="H16" s="11" t="n">
        <v>1353.46</v>
      </c>
      <c r="I16" s="11" t="n">
        <v>1915.67</v>
      </c>
      <c r="J16" s="11" t="n">
        <v>1917.75</v>
      </c>
      <c r="K16" s="23" t="n">
        <v>81206</v>
      </c>
      <c r="L16" s="23" t="n">
        <v>78768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0" t="inlineStr">
        <is>
          <t>4join</t>
        </is>
      </c>
      <c r="D17" s="16" t="n">
        <v>66.38</v>
      </c>
      <c r="E17" s="16" t="n">
        <v>65.91</v>
      </c>
      <c r="F17" s="22">
        <f>IF(D17&gt;0, (E17-D17)/D17, 0)</f>
        <v/>
      </c>
      <c r="G17" s="16" t="n">
        <v>1208.08</v>
      </c>
      <c r="H17" s="16" t="n">
        <v>1229.82</v>
      </c>
      <c r="I17" s="16" t="n">
        <v>1922.29</v>
      </c>
      <c r="J17" s="16" t="n">
        <v>1938.58</v>
      </c>
      <c r="K17" s="23" t="n">
        <v>78894</v>
      </c>
      <c r="L17" s="23" t="n">
        <v>77873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19" t="inlineStr">
        <is>
          <t>1table</t>
        </is>
      </c>
      <c r="D18" s="11" t="n">
        <v>2238.59</v>
      </c>
      <c r="E18" s="11" t="n">
        <v>2206.6</v>
      </c>
      <c r="F18" s="12">
        <f>IF(D18&gt;0, (E18-D18)/D18, 0)</f>
        <v/>
      </c>
      <c r="G18" s="11" t="n">
        <v>666.52</v>
      </c>
      <c r="H18" s="11" t="n">
        <v>675.0599999999999</v>
      </c>
      <c r="I18" s="11" t="n">
        <v>826.66</v>
      </c>
      <c r="J18" s="11" t="n">
        <v>1603.51</v>
      </c>
      <c r="K18" s="23" t="n">
        <v>180809</v>
      </c>
      <c r="L18" s="23" t="n">
        <v>508150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0" t="inlineStr">
        <is>
          <t>2join</t>
        </is>
      </c>
      <c r="D19" s="16" t="n">
        <v>2556.75</v>
      </c>
      <c r="E19" s="16" t="n">
        <v>2521.35</v>
      </c>
      <c r="F19" s="12">
        <f>IF(D19&gt;0, (E19-D19)/D19, 0)</f>
        <v/>
      </c>
      <c r="G19" s="16" t="n">
        <v>536.61</v>
      </c>
      <c r="H19" s="16" t="n">
        <v>641.45</v>
      </c>
      <c r="I19" s="16" t="n">
        <v>932.01</v>
      </c>
      <c r="J19" s="16" t="n">
        <v>1583.37</v>
      </c>
      <c r="K19" s="23" t="n">
        <v>372570</v>
      </c>
      <c r="L19" s="23" t="n">
        <v>432055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19" t="inlineStr">
        <is>
          <t>3join</t>
        </is>
      </c>
      <c r="D20" s="11" t="n">
        <v>301.12</v>
      </c>
      <c r="E20" s="11" t="n">
        <v>300.89</v>
      </c>
      <c r="F20" s="21">
        <f>IF(D20&gt;0, (E20-D20)/D20, 0)</f>
        <v/>
      </c>
      <c r="G20" s="11" t="n">
        <v>1239.21</v>
      </c>
      <c r="H20" s="11" t="n">
        <v>1358.94</v>
      </c>
      <c r="I20" s="11" t="n">
        <v>1874.89</v>
      </c>
      <c r="J20" s="11" t="n">
        <v>1907.55</v>
      </c>
      <c r="K20" s="23" t="n">
        <v>619774</v>
      </c>
      <c r="L20" s="23" t="n">
        <v>685338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0" t="inlineStr">
        <is>
          <t>4join</t>
        </is>
      </c>
      <c r="D21" s="16" t="n">
        <v>57.79</v>
      </c>
      <c r="E21" s="16" t="n">
        <v>57.71</v>
      </c>
      <c r="F21" s="22">
        <f>IF(D21&gt;0, (E21-D21)/D21, 0)</f>
        <v/>
      </c>
      <c r="G21" s="16" t="n">
        <v>944.62</v>
      </c>
      <c r="H21" s="16" t="n">
        <v>1009.49</v>
      </c>
      <c r="I21" s="16" t="n">
        <v>1657.53</v>
      </c>
      <c r="J21" s="16" t="n">
        <v>1458.89</v>
      </c>
      <c r="K21" s="23" t="n">
        <v>138661</v>
      </c>
      <c r="L21" s="23" t="n">
        <v>138459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19" t="inlineStr">
        <is>
          <t>1table</t>
        </is>
      </c>
      <c r="D22" s="11" t="n">
        <v>2043.66</v>
      </c>
      <c r="E22" s="11" t="n">
        <v>1974.86</v>
      </c>
      <c r="F22" s="12">
        <f>IF(D22&gt;0, (E22-D22)/D22, 0)</f>
        <v/>
      </c>
      <c r="G22" s="11" t="n">
        <v>697.37</v>
      </c>
      <c r="H22" s="11" t="n">
        <v>480.15</v>
      </c>
      <c r="I22" s="11" t="n">
        <v>877.52</v>
      </c>
      <c r="J22" s="11" t="n">
        <v>848.1799999999999</v>
      </c>
      <c r="K22" s="23" t="n">
        <v>871432</v>
      </c>
      <c r="L22" s="23" t="n">
        <v>4857922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0" t="inlineStr">
        <is>
          <t>2join</t>
        </is>
      </c>
      <c r="D23" s="16" t="n">
        <v>2273.36</v>
      </c>
      <c r="E23" s="16" t="n">
        <v>2226.68</v>
      </c>
      <c r="F23" s="12">
        <f>IF(D23&gt;0, (E23-D23)/D23, 0)</f>
        <v/>
      </c>
      <c r="G23" s="16" t="n">
        <v>539.49</v>
      </c>
      <c r="H23" s="16" t="n">
        <v>421.85</v>
      </c>
      <c r="I23" s="16" t="n">
        <v>735.16</v>
      </c>
      <c r="J23" s="16" t="n">
        <v>772.79</v>
      </c>
      <c r="K23" s="23" t="n">
        <v>1611777</v>
      </c>
      <c r="L23" s="23" t="n">
        <v>5391637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19" t="inlineStr">
        <is>
          <t>3join</t>
        </is>
      </c>
      <c r="D24" s="11" t="n">
        <v>275.29</v>
      </c>
      <c r="E24" s="11" t="n">
        <v>280.65</v>
      </c>
      <c r="F24" s="17">
        <f>IF(D24&gt;0, (E24-D24)/D24, 0)</f>
        <v/>
      </c>
      <c r="G24" s="11" t="n">
        <v>1247.32</v>
      </c>
      <c r="H24" s="11" t="n">
        <v>1324.41</v>
      </c>
      <c r="I24" s="11" t="n">
        <v>1880.77</v>
      </c>
      <c r="J24" s="11" t="n">
        <v>1886.09</v>
      </c>
      <c r="K24" s="23" t="n">
        <v>1430364</v>
      </c>
      <c r="L24" s="23" t="n">
        <v>1606964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0" t="inlineStr">
        <is>
          <t>4join</t>
        </is>
      </c>
      <c r="D25" s="16" t="n">
        <v>40.45</v>
      </c>
      <c r="E25" s="16" t="n">
        <v>41.31</v>
      </c>
      <c r="F25" s="17">
        <f>IF(D25&gt;0, (E25-D25)/D25, 0)</f>
        <v/>
      </c>
      <c r="G25" s="16" t="n">
        <v>744.15</v>
      </c>
      <c r="H25" s="16" t="n">
        <v>873.39</v>
      </c>
      <c r="I25" s="16" t="n">
        <v>1701.78</v>
      </c>
      <c r="J25" s="16" t="n">
        <v>1775.2</v>
      </c>
      <c r="K25" s="23" t="n">
        <v>243356</v>
      </c>
      <c r="L25" s="23" t="n">
        <v>247772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9" t="inlineStr">
        <is>
          <t>1table</t>
        </is>
      </c>
      <c r="D42" s="11" t="n">
        <v>2279.05</v>
      </c>
      <c r="E42" s="11" t="n">
        <v>449.66</v>
      </c>
      <c r="F42" s="12">
        <f>IF(D42&gt;0, (E42-D42)/D42, 0)</f>
        <v/>
      </c>
      <c r="G42" s="11" t="n">
        <v>8.92</v>
      </c>
      <c r="H42" s="11" t="n">
        <v>44.43</v>
      </c>
      <c r="I42" s="11" t="n">
        <v>15.6</v>
      </c>
      <c r="J42" s="11" t="n">
        <v>46.06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20" t="inlineStr">
        <is>
          <t>2join</t>
        </is>
      </c>
      <c r="D43" s="16" t="n">
        <v>2575.84</v>
      </c>
      <c r="E43" s="16" t="n">
        <v>447.33</v>
      </c>
      <c r="F43" s="12">
        <f>IF(D43&gt;0, (E43-D43)/D43, 0)</f>
        <v/>
      </c>
      <c r="G43" s="16" t="n">
        <v>7.82</v>
      </c>
      <c r="H43" s="16" t="n">
        <v>44.66</v>
      </c>
      <c r="I43" s="16" t="n">
        <v>12.15</v>
      </c>
      <c r="J43" s="16" t="n">
        <v>46.23</v>
      </c>
      <c r="K43" s="18" t="n">
        <v>0</v>
      </c>
      <c r="L43" s="18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9" t="inlineStr">
        <is>
          <t>3join</t>
        </is>
      </c>
      <c r="D44" s="11" t="n">
        <v>1723.85</v>
      </c>
      <c r="E44" s="11" t="n">
        <v>426.99</v>
      </c>
      <c r="F44" s="12">
        <f>IF(D44&gt;0, (E44-D44)/D44, 0)</f>
        <v/>
      </c>
      <c r="G44" s="11" t="n">
        <v>11.63</v>
      </c>
      <c r="H44" s="11" t="n">
        <v>46.79</v>
      </c>
      <c r="I44" s="11" t="n">
        <v>18.04</v>
      </c>
      <c r="J44" s="11" t="n">
        <v>49.31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20" t="inlineStr">
        <is>
          <t>4join</t>
        </is>
      </c>
      <c r="D45" s="16" t="n">
        <v>1369.93</v>
      </c>
      <c r="E45" s="16" t="n">
        <v>414.91</v>
      </c>
      <c r="F45" s="12">
        <f>IF(D45&gt;0, (E45-D45)/D45, 0)</f>
        <v/>
      </c>
      <c r="G45" s="16" t="n">
        <v>14.66</v>
      </c>
      <c r="H45" s="16" t="n">
        <v>48.15</v>
      </c>
      <c r="I45" s="16" t="n">
        <v>23.59</v>
      </c>
      <c r="J45" s="16" t="n">
        <v>51.28</v>
      </c>
      <c r="K45" s="18" t="n">
        <v>0</v>
      </c>
      <c r="L45" s="18" t="n">
        <v>0</v>
      </c>
    </row>
    <row r="46" ht="20" customHeight="1">
      <c r="A46" s="9" t="inlineStr">
        <is>
          <t>Small</t>
        </is>
      </c>
      <c r="B46" s="9" t="inlineStr">
        <is>
          <t>100 conn (4 threads)</t>
        </is>
      </c>
      <c r="C46" s="19" t="inlineStr">
        <is>
          <t>1table</t>
        </is>
      </c>
      <c r="D46" s="11" t="n">
        <v>2394.42</v>
      </c>
      <c r="E46" s="11" t="n">
        <v>1918.93</v>
      </c>
      <c r="F46" s="12">
        <f>IF(D46&gt;0, (E46-D46)/D46, 0)</f>
        <v/>
      </c>
      <c r="G46" s="11" t="n">
        <v>41.76</v>
      </c>
      <c r="H46" s="11" t="n">
        <v>52.44</v>
      </c>
      <c r="I46" s="11" t="n">
        <v>65.51000000000001</v>
      </c>
      <c r="J46" s="11" t="n">
        <v>75.19</v>
      </c>
      <c r="K46" s="13" t="n">
        <v>0</v>
      </c>
      <c r="L46" s="13" t="n">
        <v>0</v>
      </c>
    </row>
    <row r="47" ht="20" customHeight="1">
      <c r="A47" s="14" t="inlineStr">
        <is>
          <t>Small</t>
        </is>
      </c>
      <c r="B47" s="14" t="inlineStr">
        <is>
          <t>100 conn (4 threads)</t>
        </is>
      </c>
      <c r="C47" s="20" t="inlineStr">
        <is>
          <t>2join</t>
        </is>
      </c>
      <c r="D47" s="16" t="n">
        <v>2770.45</v>
      </c>
      <c r="E47" s="16" t="n">
        <v>2007.49</v>
      </c>
      <c r="F47" s="12">
        <f>IF(D47&gt;0, (E47-D47)/D47, 0)</f>
        <v/>
      </c>
      <c r="G47" s="16" t="n">
        <v>36.09</v>
      </c>
      <c r="H47" s="16" t="n">
        <v>49.88</v>
      </c>
      <c r="I47" s="16" t="n">
        <v>55.82</v>
      </c>
      <c r="J47" s="16" t="n">
        <v>61.4</v>
      </c>
      <c r="K47" s="18" t="n">
        <v>0</v>
      </c>
      <c r="L47" s="18" t="n">
        <v>0</v>
      </c>
    </row>
    <row r="48" ht="20" customHeight="1">
      <c r="A48" s="9" t="inlineStr">
        <is>
          <t>Small</t>
        </is>
      </c>
      <c r="B48" s="9" t="inlineStr">
        <is>
          <t>100 conn (4 threads)</t>
        </is>
      </c>
      <c r="C48" s="19" t="inlineStr">
        <is>
          <t>3join</t>
        </is>
      </c>
      <c r="D48" s="11" t="n">
        <v>1978.06</v>
      </c>
      <c r="E48" s="11" t="n">
        <v>1665.4</v>
      </c>
      <c r="F48" s="12">
        <f>IF(D48&gt;0, (E48-D48)/D48, 0)</f>
        <v/>
      </c>
      <c r="G48" s="11" t="n">
        <v>51.18</v>
      </c>
      <c r="H48" s="11" t="n">
        <v>60.36</v>
      </c>
      <c r="I48" s="11" t="n">
        <v>94.48</v>
      </c>
      <c r="J48" s="11" t="n">
        <v>84.45999999999999</v>
      </c>
      <c r="K48" s="13" t="n">
        <v>0</v>
      </c>
      <c r="L48" s="13" t="n">
        <v>0</v>
      </c>
    </row>
    <row r="49" ht="20" customHeight="1">
      <c r="A49" s="14" t="inlineStr">
        <is>
          <t>Small</t>
        </is>
      </c>
      <c r="B49" s="14" t="inlineStr">
        <is>
          <t>100 conn (4 threads)</t>
        </is>
      </c>
      <c r="C49" s="20" t="inlineStr">
        <is>
          <t>4join</t>
        </is>
      </c>
      <c r="D49" s="16" t="n">
        <v>1663.88</v>
      </c>
      <c r="E49" s="16" t="n">
        <v>1540.67</v>
      </c>
      <c r="F49" s="12">
        <f>IF(D49&gt;0, (E49-D49)/D49, 0)</f>
        <v/>
      </c>
      <c r="G49" s="16" t="n">
        <v>60.73</v>
      </c>
      <c r="H49" s="16" t="n">
        <v>64.93000000000001</v>
      </c>
      <c r="I49" s="16" t="n">
        <v>110.48</v>
      </c>
      <c r="J49" s="16" t="n">
        <v>85.70999999999999</v>
      </c>
      <c r="K49" s="18" t="n">
        <v>0</v>
      </c>
      <c r="L49" s="18" t="n">
        <v>0</v>
      </c>
    </row>
    <row r="50" ht="20" customHeight="1">
      <c r="A50" s="9" t="inlineStr">
        <is>
          <t>General</t>
        </is>
      </c>
      <c r="B50" s="9" t="inlineStr">
        <is>
          <t>500 conn (8 threads)</t>
        </is>
      </c>
      <c r="C50" s="19" t="inlineStr">
        <is>
          <t>1table</t>
        </is>
      </c>
      <c r="D50" s="11" t="n">
        <v>2221.51</v>
      </c>
      <c r="E50" s="11" t="n">
        <v>2248.2</v>
      </c>
      <c r="F50" s="17">
        <f>IF(D50&gt;0, (E50-D50)/D50, 0)</f>
        <v/>
      </c>
      <c r="G50" s="11" t="n">
        <v>229.8</v>
      </c>
      <c r="H50" s="11" t="n">
        <v>222.99</v>
      </c>
      <c r="I50" s="11" t="n">
        <v>471.67</v>
      </c>
      <c r="J50" s="11" t="n">
        <v>366.6</v>
      </c>
      <c r="K50" s="13" t="n">
        <v>0</v>
      </c>
      <c r="L50" s="13" t="n">
        <v>0</v>
      </c>
    </row>
    <row r="51" ht="20" customHeight="1">
      <c r="A51" s="14" t="inlineStr">
        <is>
          <t>General</t>
        </is>
      </c>
      <c r="B51" s="14" t="inlineStr">
        <is>
          <t>500 conn (8 threads)</t>
        </is>
      </c>
      <c r="C51" s="20" t="inlineStr">
        <is>
          <t>2join</t>
        </is>
      </c>
      <c r="D51" s="16" t="n">
        <v>2494.54</v>
      </c>
      <c r="E51" s="16" t="n">
        <v>2560.71</v>
      </c>
      <c r="F51" s="17">
        <f>IF(D51&gt;0, (E51-D51)/D51, 0)</f>
        <v/>
      </c>
      <c r="G51" s="16" t="n">
        <v>209.93</v>
      </c>
      <c r="H51" s="16" t="n">
        <v>193.32</v>
      </c>
      <c r="I51" s="16" t="n">
        <v>435.76</v>
      </c>
      <c r="J51" s="16" t="n">
        <v>294.3</v>
      </c>
      <c r="K51" s="18" t="n">
        <v>0</v>
      </c>
      <c r="L51" s="18" t="n">
        <v>0</v>
      </c>
    </row>
    <row r="52" ht="20" customHeight="1">
      <c r="A52" s="9" t="inlineStr">
        <is>
          <t>General</t>
        </is>
      </c>
      <c r="B52" s="9" t="inlineStr">
        <is>
          <t>500 conn (8 threads)</t>
        </is>
      </c>
      <c r="C52" s="19" t="inlineStr">
        <is>
          <t>3join</t>
        </is>
      </c>
      <c r="D52" s="11" t="n">
        <v>1783.44</v>
      </c>
      <c r="E52" s="11" t="n">
        <v>1855.61</v>
      </c>
      <c r="F52" s="17">
        <f>IF(D52&gt;0, (E52-D52)/D52, 0)</f>
        <v/>
      </c>
      <c r="G52" s="11" t="n">
        <v>308.25</v>
      </c>
      <c r="H52" s="11" t="n">
        <v>283.52</v>
      </c>
      <c r="I52" s="11" t="n">
        <v>795.98</v>
      </c>
      <c r="J52" s="11" t="n">
        <v>643.15</v>
      </c>
      <c r="K52" s="23" t="n">
        <v>314</v>
      </c>
      <c r="L52" s="23" t="n">
        <v>87</v>
      </c>
    </row>
    <row r="53" ht="20" customHeight="1">
      <c r="A53" s="14" t="inlineStr">
        <is>
          <t>General</t>
        </is>
      </c>
      <c r="B53" s="14" t="inlineStr">
        <is>
          <t>500 conn (8 threads)</t>
        </is>
      </c>
      <c r="C53" s="20" t="inlineStr">
        <is>
          <t>4join</t>
        </is>
      </c>
      <c r="D53" s="16" t="n">
        <v>1445.35</v>
      </c>
      <c r="E53" s="16" t="n">
        <v>1502.67</v>
      </c>
      <c r="F53" s="17">
        <f>IF(D53&gt;0, (E53-D53)/D53, 0)</f>
        <v/>
      </c>
      <c r="G53" s="16" t="n">
        <v>367.92</v>
      </c>
      <c r="H53" s="16" t="n">
        <v>347.73</v>
      </c>
      <c r="I53" s="16" t="n">
        <v>896.09</v>
      </c>
      <c r="J53" s="16" t="n">
        <v>794.79</v>
      </c>
      <c r="K53" s="23" t="n">
        <v>967</v>
      </c>
      <c r="L53" s="23" t="n">
        <v>184</v>
      </c>
    </row>
    <row r="54" ht="20" customHeight="1">
      <c r="A54" s="9" t="inlineStr">
        <is>
          <t>High</t>
        </is>
      </c>
      <c r="B54" s="9" t="inlineStr">
        <is>
          <t>2,000 conn (8 threads)</t>
        </is>
      </c>
      <c r="C54" s="19" t="inlineStr">
        <is>
          <t>1table</t>
        </is>
      </c>
      <c r="D54" s="11" t="n">
        <v>2205.47</v>
      </c>
      <c r="E54" s="11" t="n">
        <v>2196.92</v>
      </c>
      <c r="F54" s="21">
        <f>IF(D54&gt;0, (E54-D54)/D54, 0)</f>
        <v/>
      </c>
      <c r="G54" s="11" t="n">
        <v>674.4400000000001</v>
      </c>
      <c r="H54" s="11" t="n">
        <v>681.8099999999999</v>
      </c>
      <c r="I54" s="11" t="n">
        <v>833.92</v>
      </c>
      <c r="J54" s="11" t="n">
        <v>1622.03</v>
      </c>
      <c r="K54" s="23" t="n">
        <v>180877</v>
      </c>
      <c r="L54" s="23" t="n">
        <v>515985</v>
      </c>
    </row>
    <row r="55" ht="20" customHeight="1">
      <c r="A55" s="14" t="inlineStr">
        <is>
          <t>High</t>
        </is>
      </c>
      <c r="B55" s="14" t="inlineStr">
        <is>
          <t>2,000 conn (8 threads)</t>
        </is>
      </c>
      <c r="C55" s="20" t="inlineStr">
        <is>
          <t>2join</t>
        </is>
      </c>
      <c r="D55" s="16" t="n">
        <v>2515.07</v>
      </c>
      <c r="E55" s="16" t="n">
        <v>2518.56</v>
      </c>
      <c r="F55" s="22">
        <f>IF(D55&gt;0, (E55-D55)/D55, 0)</f>
        <v/>
      </c>
      <c r="G55" s="16" t="n">
        <v>542.66</v>
      </c>
      <c r="H55" s="16" t="n">
        <v>635.09</v>
      </c>
      <c r="I55" s="16" t="n">
        <v>923.6900000000001</v>
      </c>
      <c r="J55" s="16" t="n">
        <v>1554.1</v>
      </c>
      <c r="K55" s="23" t="n">
        <v>372072</v>
      </c>
      <c r="L55" s="23" t="n">
        <v>434440</v>
      </c>
    </row>
    <row r="56" ht="20" customHeight="1">
      <c r="A56" s="9" t="inlineStr">
        <is>
          <t>High</t>
        </is>
      </c>
      <c r="B56" s="9" t="inlineStr">
        <is>
          <t>2,000 conn (8 threads)</t>
        </is>
      </c>
      <c r="C56" s="19" t="inlineStr">
        <is>
          <t>3join</t>
        </is>
      </c>
      <c r="D56" s="11" t="n">
        <v>1772.15</v>
      </c>
      <c r="E56" s="11" t="n">
        <v>1499.48</v>
      </c>
      <c r="F56" s="12">
        <f>IF(D56&gt;0, (E56-D56)/D56, 0)</f>
        <v/>
      </c>
      <c r="G56" s="11" t="n">
        <v>699.66</v>
      </c>
      <c r="H56" s="11" t="n">
        <v>672.17</v>
      </c>
      <c r="I56" s="11" t="n">
        <v>1745.81</v>
      </c>
      <c r="J56" s="11" t="n">
        <v>1628.2</v>
      </c>
      <c r="K56" s="23" t="n">
        <v>668997</v>
      </c>
      <c r="L56" s="23" t="n">
        <v>656676</v>
      </c>
    </row>
    <row r="57" ht="20" customHeight="1">
      <c r="A57" s="14" t="inlineStr">
        <is>
          <t>High</t>
        </is>
      </c>
      <c r="B57" s="14" t="inlineStr">
        <is>
          <t>2,000 conn (8 threads)</t>
        </is>
      </c>
      <c r="C57" s="20" t="inlineStr">
        <is>
          <t>4join</t>
        </is>
      </c>
      <c r="D57" s="16" t="n">
        <v>1427.28</v>
      </c>
      <c r="E57" s="16" t="n">
        <v>1153.77</v>
      </c>
      <c r="F57" s="12">
        <f>IF(D57&gt;0, (E57-D57)/D57, 0)</f>
        <v/>
      </c>
      <c r="G57" s="16" t="n">
        <v>748.92</v>
      </c>
      <c r="H57" s="16" t="n">
        <v>657.0599999999999</v>
      </c>
      <c r="I57" s="16" t="n">
        <v>1800.43</v>
      </c>
      <c r="J57" s="16" t="n">
        <v>1436.28</v>
      </c>
      <c r="K57" s="23" t="n">
        <v>788107</v>
      </c>
      <c r="L57" s="23" t="n">
        <v>607931</v>
      </c>
    </row>
    <row r="58" ht="20" customHeight="1">
      <c r="A58" s="9" t="inlineStr">
        <is>
          <t>Stress</t>
        </is>
      </c>
      <c r="B58" s="9" t="inlineStr">
        <is>
          <t>10,000 conn (16 threads)</t>
        </is>
      </c>
      <c r="C58" s="19" t="inlineStr">
        <is>
          <t>1table</t>
        </is>
      </c>
      <c r="D58" s="11" t="n">
        <v>2029.15</v>
      </c>
      <c r="E58" s="11" t="n">
        <v>1976.91</v>
      </c>
      <c r="F58" s="12">
        <f>IF(D58&gt;0, (E58-D58)/D58, 0)</f>
        <v/>
      </c>
      <c r="G58" s="11" t="n">
        <v>704.3</v>
      </c>
      <c r="H58" s="11" t="n">
        <v>480.44</v>
      </c>
      <c r="I58" s="11" t="n">
        <v>884.4</v>
      </c>
      <c r="J58" s="11" t="n">
        <v>844.72</v>
      </c>
      <c r="K58" s="23" t="n">
        <v>852420</v>
      </c>
      <c r="L58" s="23" t="n">
        <v>4842861</v>
      </c>
    </row>
    <row r="59" ht="20" customHeight="1">
      <c r="A59" s="14" t="inlineStr">
        <is>
          <t>Stress</t>
        </is>
      </c>
      <c r="B59" s="14" t="inlineStr">
        <is>
          <t>10,000 conn (16 threads)</t>
        </is>
      </c>
      <c r="C59" s="20" t="inlineStr">
        <is>
          <t>2join</t>
        </is>
      </c>
      <c r="D59" s="16" t="n">
        <v>2252.1</v>
      </c>
      <c r="E59" s="16" t="n">
        <v>2248.52</v>
      </c>
      <c r="F59" s="22">
        <f>IF(D59&gt;0, (E59-D59)/D59, 0)</f>
        <v/>
      </c>
      <c r="G59" s="16" t="n">
        <v>539.9299999999999</v>
      </c>
      <c r="H59" s="16" t="n">
        <v>439.19</v>
      </c>
      <c r="I59" s="16" t="n">
        <v>739.1799999999999</v>
      </c>
      <c r="J59" s="16" t="n">
        <v>904.08</v>
      </c>
      <c r="K59" s="23" t="n">
        <v>1618242</v>
      </c>
      <c r="L59" s="23" t="n">
        <v>5329145</v>
      </c>
    </row>
    <row r="60" ht="20" customHeight="1">
      <c r="A60" s="9" t="inlineStr">
        <is>
          <t>Stress</t>
        </is>
      </c>
      <c r="B60" s="9" t="inlineStr">
        <is>
          <t>10,000 conn (16 threads)</t>
        </is>
      </c>
      <c r="C60" s="19" t="inlineStr">
        <is>
          <t>3join</t>
        </is>
      </c>
      <c r="D60" s="11" t="n">
        <v>1739.5</v>
      </c>
      <c r="E60" s="11" t="n">
        <v>1713.54</v>
      </c>
      <c r="F60" s="12">
        <f>IF(D60&gt;0, (E60-D60)/D60, 0)</f>
        <v/>
      </c>
      <c r="G60" s="11" t="n">
        <v>435.79</v>
      </c>
      <c r="H60" s="11" t="n">
        <v>582.53</v>
      </c>
      <c r="I60" s="11" t="n">
        <v>670.3</v>
      </c>
      <c r="J60" s="11" t="n">
        <v>853.24</v>
      </c>
      <c r="K60" s="23" t="n">
        <v>3497581</v>
      </c>
      <c r="L60" s="23" t="n">
        <v>3644723</v>
      </c>
    </row>
    <row r="61" ht="20" customHeight="1">
      <c r="A61" s="14" t="inlineStr">
        <is>
          <t>Stress</t>
        </is>
      </c>
      <c r="B61" s="14" t="inlineStr">
        <is>
          <t>10,000 conn (16 threads)</t>
        </is>
      </c>
      <c r="C61" s="20" t="inlineStr">
        <is>
          <t>4join</t>
        </is>
      </c>
      <c r="D61" s="16" t="n">
        <v>1433.16</v>
      </c>
      <c r="E61" s="16" t="n">
        <v>1457.54</v>
      </c>
      <c r="F61" s="17">
        <f>IF(D61&gt;0, (E61-D61)/D61, 0)</f>
        <v/>
      </c>
      <c r="G61" s="16" t="n">
        <v>384.15</v>
      </c>
      <c r="H61" s="16" t="n">
        <v>482.21</v>
      </c>
      <c r="I61" s="16" t="n">
        <v>782</v>
      </c>
      <c r="J61" s="16" t="n">
        <v>923.1799999999999</v>
      </c>
      <c r="K61" s="23" t="n">
        <v>4355905</v>
      </c>
      <c r="L61" s="23" t="n">
        <v>3960185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9" t="inlineStr">
        <is>
          <t>1table</t>
        </is>
      </c>
      <c r="D78" s="11" t="n">
        <v>9324.9</v>
      </c>
      <c r="E78" s="11" t="n">
        <v>10087.07</v>
      </c>
      <c r="F78" s="17">
        <f>IF(D78&gt;0, (E78-D78)/D78, 0)</f>
        <v/>
      </c>
      <c r="G78" s="11" t="n">
        <v>2.31</v>
      </c>
      <c r="H78" s="11" t="n">
        <v>2.42</v>
      </c>
      <c r="I78" s="11" t="n">
        <v>4.11</v>
      </c>
      <c r="J78" s="11" t="n">
        <v>3.4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20" t="inlineStr">
        <is>
          <t>2table</t>
        </is>
      </c>
      <c r="D79" s="16" t="n">
        <v>5274.29</v>
      </c>
      <c r="E79" s="16" t="n">
        <v>5556.55</v>
      </c>
      <c r="F79" s="17">
        <f>IF(D79&gt;0, (E79-D79)/D79, 0)</f>
        <v/>
      </c>
      <c r="G79" s="16" t="n">
        <v>3.97</v>
      </c>
      <c r="H79" s="16" t="n">
        <v>3.85</v>
      </c>
      <c r="I79" s="16" t="n">
        <v>6.42</v>
      </c>
      <c r="J79" s="16" t="n">
        <v>5.75</v>
      </c>
      <c r="K79" s="18" t="n">
        <v>0</v>
      </c>
      <c r="L79" s="18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9" t="inlineStr">
        <is>
          <t>3table</t>
        </is>
      </c>
      <c r="D80" s="11" t="n">
        <v>4457.83</v>
      </c>
      <c r="E80" s="11" t="n">
        <v>4852.79</v>
      </c>
      <c r="F80" s="17">
        <f>IF(D80&gt;0, (E80-D80)/D80, 0)</f>
        <v/>
      </c>
      <c r="G80" s="11" t="n">
        <v>4.66</v>
      </c>
      <c r="H80" s="11" t="n">
        <v>4.31</v>
      </c>
      <c r="I80" s="11" t="n">
        <v>7.44</v>
      </c>
      <c r="J80" s="11" t="n">
        <v>6.31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20" t="inlineStr">
        <is>
          <t>4table</t>
        </is>
      </c>
      <c r="D81" s="16" t="n">
        <v>3360.52</v>
      </c>
      <c r="E81" s="16" t="n">
        <v>3651.39</v>
      </c>
      <c r="F81" s="17">
        <f>IF(D81&gt;0, (E81-D81)/D81, 0)</f>
        <v/>
      </c>
      <c r="G81" s="16" t="n">
        <v>6.45</v>
      </c>
      <c r="H81" s="16" t="n">
        <v>5.65</v>
      </c>
      <c r="I81" s="16" t="n">
        <v>9.93</v>
      </c>
      <c r="J81" s="16" t="n">
        <v>8.33</v>
      </c>
      <c r="K81" s="18" t="n">
        <v>0</v>
      </c>
      <c r="L81" s="18" t="n">
        <v>0</v>
      </c>
    </row>
    <row r="82" ht="20" customHeight="1">
      <c r="A82" s="9" t="inlineStr">
        <is>
          <t>Small</t>
        </is>
      </c>
      <c r="B82" s="9" t="inlineStr">
        <is>
          <t>100 conn (4 threads)</t>
        </is>
      </c>
      <c r="C82" s="19" t="inlineStr">
        <is>
          <t>1table</t>
        </is>
      </c>
      <c r="D82" s="11" t="n">
        <v>8698.629999999999</v>
      </c>
      <c r="E82" s="11" t="n">
        <v>13839.32</v>
      </c>
      <c r="F82" s="17">
        <f>IF(D82&gt;0, (E82-D82)/D82, 0)</f>
        <v/>
      </c>
      <c r="G82" s="11" t="n">
        <v>22.51</v>
      </c>
      <c r="H82" s="11" t="n">
        <v>8.800000000000001</v>
      </c>
      <c r="I82" s="11" t="n">
        <v>96.52</v>
      </c>
      <c r="J82" s="11" t="n">
        <v>20.59</v>
      </c>
      <c r="K82" s="13" t="n">
        <v>0</v>
      </c>
      <c r="L82" s="13" t="n">
        <v>0</v>
      </c>
    </row>
    <row r="83" ht="20" customHeight="1">
      <c r="A83" s="14" t="inlineStr">
        <is>
          <t>Small</t>
        </is>
      </c>
      <c r="B83" s="14" t="inlineStr">
        <is>
          <t>100 conn (4 threads)</t>
        </is>
      </c>
      <c r="C83" s="20" t="inlineStr">
        <is>
          <t>2table</t>
        </is>
      </c>
      <c r="D83" s="16" t="n">
        <v>6258.85</v>
      </c>
      <c r="E83" s="16" t="n">
        <v>7563.67</v>
      </c>
      <c r="F83" s="17">
        <f>IF(D83&gt;0, (E83-D83)/D83, 0)</f>
        <v/>
      </c>
      <c r="G83" s="16" t="n">
        <v>18.06</v>
      </c>
      <c r="H83" s="16" t="n">
        <v>14.51</v>
      </c>
      <c r="I83" s="16" t="n">
        <v>44.39</v>
      </c>
      <c r="J83" s="16" t="n">
        <v>32.41</v>
      </c>
      <c r="K83" s="18" t="n">
        <v>0</v>
      </c>
      <c r="L83" s="18" t="n">
        <v>0</v>
      </c>
    </row>
    <row r="84" ht="20" customHeight="1">
      <c r="A84" s="9" t="inlineStr">
        <is>
          <t>Small</t>
        </is>
      </c>
      <c r="B84" s="9" t="inlineStr">
        <is>
          <t>100 conn (4 threads)</t>
        </is>
      </c>
      <c r="C84" s="19" t="inlineStr">
        <is>
          <t>3table</t>
        </is>
      </c>
      <c r="D84" s="11" t="n">
        <v>5410.04</v>
      </c>
      <c r="E84" s="11" t="n">
        <v>6236.25</v>
      </c>
      <c r="F84" s="17">
        <f>IF(D84&gt;0, (E84-D84)/D84, 0)</f>
        <v/>
      </c>
      <c r="G84" s="11" t="n">
        <v>20.07</v>
      </c>
      <c r="H84" s="11" t="n">
        <v>17.41</v>
      </c>
      <c r="I84" s="11" t="n">
        <v>44.97</v>
      </c>
      <c r="J84" s="11" t="n">
        <v>38.3</v>
      </c>
      <c r="K84" s="13" t="n">
        <v>0</v>
      </c>
      <c r="L84" s="13" t="n">
        <v>0</v>
      </c>
    </row>
    <row r="85" ht="20" customHeight="1">
      <c r="A85" s="14" t="inlineStr">
        <is>
          <t>Small</t>
        </is>
      </c>
      <c r="B85" s="14" t="inlineStr">
        <is>
          <t>100 conn (4 threads)</t>
        </is>
      </c>
      <c r="C85" s="20" t="inlineStr">
        <is>
          <t>4table</t>
        </is>
      </c>
      <c r="D85" s="16" t="n">
        <v>3927</v>
      </c>
      <c r="E85" s="16" t="n">
        <v>4299.57</v>
      </c>
      <c r="F85" s="17">
        <f>IF(D85&gt;0, (E85-D85)/D85, 0)</f>
        <v/>
      </c>
      <c r="G85" s="16" t="n">
        <v>27.07</v>
      </c>
      <c r="H85" s="16" t="n">
        <v>24.83</v>
      </c>
      <c r="I85" s="16" t="n">
        <v>58.67</v>
      </c>
      <c r="J85" s="16" t="n">
        <v>54.7</v>
      </c>
      <c r="K85" s="18" t="n">
        <v>0</v>
      </c>
      <c r="L85" s="18" t="n">
        <v>0</v>
      </c>
    </row>
    <row r="86" ht="20" customHeight="1">
      <c r="A86" s="9" t="inlineStr">
        <is>
          <t>General</t>
        </is>
      </c>
      <c r="B86" s="9" t="inlineStr">
        <is>
          <t>500 conn (8 threads)</t>
        </is>
      </c>
      <c r="C86" s="19" t="inlineStr">
        <is>
          <t>1table</t>
        </is>
      </c>
      <c r="D86" s="11" t="n">
        <v>7384.74</v>
      </c>
      <c r="E86" s="11" t="n">
        <v>8950.27</v>
      </c>
      <c r="F86" s="17">
        <f>IF(D86&gt;0, (E86-D86)/D86, 0)</f>
        <v/>
      </c>
      <c r="G86" s="11" t="n">
        <v>202.47</v>
      </c>
      <c r="H86" s="11" t="n">
        <v>171.07</v>
      </c>
      <c r="I86" s="11" t="n">
        <v>925.89</v>
      </c>
      <c r="J86" s="11" t="n">
        <v>771.48</v>
      </c>
      <c r="K86" s="23" t="n">
        <v>14776</v>
      </c>
      <c r="L86" s="23" t="n">
        <v>4819</v>
      </c>
    </row>
    <row r="87" ht="20" customHeight="1">
      <c r="A87" s="14" t="inlineStr">
        <is>
          <t>General</t>
        </is>
      </c>
      <c r="B87" s="14" t="inlineStr">
        <is>
          <t>500 conn (8 threads)</t>
        </is>
      </c>
      <c r="C87" s="20" t="inlineStr">
        <is>
          <t>2table</t>
        </is>
      </c>
      <c r="D87" s="16" t="n">
        <v>4952.12</v>
      </c>
      <c r="E87" s="16" t="n">
        <v>5612.02</v>
      </c>
      <c r="F87" s="17">
        <f>IF(D87&gt;0, (E87-D87)/D87, 0)</f>
        <v/>
      </c>
      <c r="G87" s="16" t="n">
        <v>196.89</v>
      </c>
      <c r="H87" s="16" t="n">
        <v>164.66</v>
      </c>
      <c r="I87" s="16" t="n">
        <v>837.21</v>
      </c>
      <c r="J87" s="16" t="n">
        <v>676.5599999999999</v>
      </c>
      <c r="K87" s="23" t="n">
        <v>7519</v>
      </c>
      <c r="L87" s="23" t="n">
        <v>2012</v>
      </c>
    </row>
    <row r="88" ht="20" customHeight="1">
      <c r="A88" s="9" t="inlineStr">
        <is>
          <t>General</t>
        </is>
      </c>
      <c r="B88" s="9" t="inlineStr">
        <is>
          <t>500 conn (8 threads)</t>
        </is>
      </c>
      <c r="C88" s="19" t="inlineStr">
        <is>
          <t>3table</t>
        </is>
      </c>
      <c r="D88" s="11" t="n">
        <v>4263.4</v>
      </c>
      <c r="E88" s="11" t="n">
        <v>4655.97</v>
      </c>
      <c r="F88" s="17">
        <f>IF(D88&gt;0, (E88-D88)/D88, 0)</f>
        <v/>
      </c>
      <c r="G88" s="11" t="n">
        <v>194</v>
      </c>
      <c r="H88" s="11" t="n">
        <v>163.46</v>
      </c>
      <c r="I88" s="11" t="n">
        <v>774.13</v>
      </c>
      <c r="J88" s="11" t="n">
        <v>607.6799999999999</v>
      </c>
      <c r="K88" s="23" t="n">
        <v>5172</v>
      </c>
      <c r="L88" s="23" t="n">
        <v>1203</v>
      </c>
    </row>
    <row r="89" ht="20" customHeight="1">
      <c r="A89" s="14" t="inlineStr">
        <is>
          <t>General</t>
        </is>
      </c>
      <c r="B89" s="14" t="inlineStr">
        <is>
          <t>500 conn (8 threads)</t>
        </is>
      </c>
      <c r="C89" s="20" t="inlineStr">
        <is>
          <t>4table</t>
        </is>
      </c>
      <c r="D89" s="16" t="n">
        <v>2932.88</v>
      </c>
      <c r="E89" s="16" t="n">
        <v>3155.03</v>
      </c>
      <c r="F89" s="17">
        <f>IF(D89&gt;0, (E89-D89)/D89, 0)</f>
        <v/>
      </c>
      <c r="G89" s="16" t="n">
        <v>255.98</v>
      </c>
      <c r="H89" s="16" t="n">
        <v>239.71</v>
      </c>
      <c r="I89" s="16" t="n">
        <v>1035.98</v>
      </c>
      <c r="J89" s="16" t="n">
        <v>935.54</v>
      </c>
      <c r="K89" s="23" t="n">
        <v>23500</v>
      </c>
      <c r="L89" s="23" t="n">
        <v>12612</v>
      </c>
    </row>
    <row r="90" ht="20" customHeight="1">
      <c r="A90" s="9" t="inlineStr">
        <is>
          <t>High</t>
        </is>
      </c>
      <c r="B90" s="9" t="inlineStr">
        <is>
          <t>2,000 conn (8 threads)</t>
        </is>
      </c>
      <c r="C90" s="19" t="inlineStr">
        <is>
          <t>1table</t>
        </is>
      </c>
      <c r="D90" s="11" t="n">
        <v>7091.58</v>
      </c>
      <c r="E90" s="11" t="n">
        <v>8728.6</v>
      </c>
      <c r="F90" s="17">
        <f>IF(D90&gt;0, (E90-D90)/D90, 0)</f>
        <v/>
      </c>
      <c r="G90" s="11" t="n">
        <v>325.16</v>
      </c>
      <c r="H90" s="11" t="n">
        <v>277.94</v>
      </c>
      <c r="I90" s="11" t="n">
        <v>945.62</v>
      </c>
      <c r="J90" s="11" t="n">
        <v>821.12</v>
      </c>
      <c r="K90" s="23" t="n">
        <v>65027</v>
      </c>
      <c r="L90" s="23" t="n">
        <v>21979</v>
      </c>
    </row>
    <row r="91" ht="20" customHeight="1">
      <c r="A91" s="14" t="inlineStr">
        <is>
          <t>High</t>
        </is>
      </c>
      <c r="B91" s="14" t="inlineStr">
        <is>
          <t>2,000 conn (8 threads)</t>
        </is>
      </c>
      <c r="C91" s="20" t="inlineStr">
        <is>
          <t>2table</t>
        </is>
      </c>
      <c r="D91" s="16" t="n">
        <v>4826.72</v>
      </c>
      <c r="E91" s="16" t="n">
        <v>5453.79</v>
      </c>
      <c r="F91" s="17">
        <f>IF(D91&gt;0, (E91-D91)/D91, 0)</f>
        <v/>
      </c>
      <c r="G91" s="16" t="n">
        <v>440.95</v>
      </c>
      <c r="H91" s="16" t="n">
        <v>399.35</v>
      </c>
      <c r="I91" s="16" t="n">
        <v>1122.96</v>
      </c>
      <c r="J91" s="16" t="n">
        <v>1022.8</v>
      </c>
      <c r="K91" s="23" t="n">
        <v>64129</v>
      </c>
      <c r="L91" s="23" t="n">
        <v>28847</v>
      </c>
    </row>
    <row r="92" ht="20" customHeight="1">
      <c r="A92" s="9" t="inlineStr">
        <is>
          <t>High</t>
        </is>
      </c>
      <c r="B92" s="9" t="inlineStr">
        <is>
          <t>2,000 conn (8 threads)</t>
        </is>
      </c>
      <c r="C92" s="19" t="inlineStr">
        <is>
          <t>3table</t>
        </is>
      </c>
      <c r="D92" s="11" t="n">
        <v>4170.34</v>
      </c>
      <c r="E92" s="11" t="n">
        <v>4548.17</v>
      </c>
      <c r="F92" s="17">
        <f>IF(D92&gt;0, (E92-D92)/D92, 0)</f>
        <v/>
      </c>
      <c r="G92" s="11" t="n">
        <v>496.05</v>
      </c>
      <c r="H92" s="11" t="n">
        <v>463.02</v>
      </c>
      <c r="I92" s="11" t="n">
        <v>1211.24</v>
      </c>
      <c r="J92" s="11" t="n">
        <v>1122.53</v>
      </c>
      <c r="K92" s="23" t="n">
        <v>76588</v>
      </c>
      <c r="L92" s="23" t="n">
        <v>39318</v>
      </c>
    </row>
    <row r="93" ht="20" customHeight="1">
      <c r="A93" s="14" t="inlineStr">
        <is>
          <t>High</t>
        </is>
      </c>
      <c r="B93" s="14" t="inlineStr">
        <is>
          <t>2,000 conn (8 threads)</t>
        </is>
      </c>
      <c r="C93" s="20" t="inlineStr">
        <is>
          <t>4table</t>
        </is>
      </c>
      <c r="D93" s="16" t="n">
        <v>2896.76</v>
      </c>
      <c r="E93" s="16" t="n">
        <v>3068.06</v>
      </c>
      <c r="F93" s="17">
        <f>IF(D93&gt;0, (E93-D93)/D93, 0)</f>
        <v/>
      </c>
      <c r="G93" s="16" t="n">
        <v>646.6</v>
      </c>
      <c r="H93" s="16" t="n">
        <v>628</v>
      </c>
      <c r="I93" s="16" t="n">
        <v>1451.61</v>
      </c>
      <c r="J93" s="16" t="n">
        <v>1389.48</v>
      </c>
      <c r="K93" s="23" t="n">
        <v>207120</v>
      </c>
      <c r="L93" s="23" t="n">
        <v>157846</v>
      </c>
    </row>
    <row r="94" ht="20" customHeight="1">
      <c r="A94" s="9" t="inlineStr">
        <is>
          <t>Stress</t>
        </is>
      </c>
      <c r="B94" s="9" t="inlineStr">
        <is>
          <t>10,000 conn (16 threads)</t>
        </is>
      </c>
      <c r="C94" s="19" t="inlineStr">
        <is>
          <t>1table</t>
        </is>
      </c>
      <c r="D94" s="11" t="n">
        <v>6759.35</v>
      </c>
      <c r="E94" s="11" t="n">
        <v>8641.09</v>
      </c>
      <c r="F94" s="17">
        <f>IF(D94&gt;0, (E94-D94)/D94, 0)</f>
        <v/>
      </c>
      <c r="G94" s="11" t="n">
        <v>812.0700000000001</v>
      </c>
      <c r="H94" s="11" t="n">
        <v>540.45</v>
      </c>
      <c r="I94" s="11" t="n">
        <v>1777.54</v>
      </c>
      <c r="J94" s="11" t="n">
        <v>1544.14</v>
      </c>
      <c r="K94" s="23" t="n">
        <v>9930089</v>
      </c>
      <c r="L94" s="23" t="n">
        <v>11396035</v>
      </c>
    </row>
    <row r="95" ht="20" customHeight="1">
      <c r="A95" s="14" t="inlineStr">
        <is>
          <t>Stress</t>
        </is>
      </c>
      <c r="B95" s="14" t="inlineStr">
        <is>
          <t>10,000 conn (16 threads)</t>
        </is>
      </c>
      <c r="C95" s="20" t="inlineStr">
        <is>
          <t>2table</t>
        </is>
      </c>
      <c r="D95" s="16" t="n">
        <v>4730.62</v>
      </c>
      <c r="E95" s="16" t="n">
        <v>5488.15</v>
      </c>
      <c r="F95" s="17">
        <f>IF(D95&gt;0, (E95-D95)/D95, 0)</f>
        <v/>
      </c>
      <c r="G95" s="16" t="n">
        <v>667.74</v>
      </c>
      <c r="H95" s="16" t="n">
        <v>768.85</v>
      </c>
      <c r="I95" s="16" t="n">
        <v>1940.59</v>
      </c>
      <c r="J95" s="16" t="n">
        <v>1915.8</v>
      </c>
      <c r="K95" s="23" t="n">
        <v>13844249</v>
      </c>
      <c r="L95" s="23" t="n">
        <v>11436935</v>
      </c>
    </row>
    <row r="96" ht="20" customHeight="1">
      <c r="A96" s="9" t="inlineStr">
        <is>
          <t>Stress</t>
        </is>
      </c>
      <c r="B96" s="9" t="inlineStr">
        <is>
          <t>10,000 conn (16 threads)</t>
        </is>
      </c>
      <c r="C96" s="19" t="inlineStr">
        <is>
          <t>3table</t>
        </is>
      </c>
      <c r="D96" s="11" t="n">
        <v>4106.6</v>
      </c>
      <c r="E96" s="11" t="n">
        <v>4571.22</v>
      </c>
      <c r="F96" s="17">
        <f>IF(D96&gt;0, (E96-D96)/D96, 0)</f>
        <v/>
      </c>
      <c r="G96" s="11" t="n">
        <v>402.45</v>
      </c>
      <c r="H96" s="11" t="n">
        <v>534.55</v>
      </c>
      <c r="I96" s="11" t="n">
        <v>1895.41</v>
      </c>
      <c r="J96" s="11" t="n">
        <v>1956.34</v>
      </c>
      <c r="K96" s="23" t="n">
        <v>15235684</v>
      </c>
      <c r="L96" s="23" t="n">
        <v>15212131</v>
      </c>
    </row>
    <row r="97" ht="20" customHeight="1">
      <c r="A97" s="14" t="inlineStr">
        <is>
          <t>Stress</t>
        </is>
      </c>
      <c r="B97" s="14" t="inlineStr">
        <is>
          <t>10,000 conn (16 threads)</t>
        </is>
      </c>
      <c r="C97" s="20" t="inlineStr">
        <is>
          <t>4table</t>
        </is>
      </c>
      <c r="D97" s="16" t="n">
        <v>2874.17</v>
      </c>
      <c r="E97" s="16" t="n">
        <v>3053.83</v>
      </c>
      <c r="F97" s="17">
        <f>IF(D97&gt;0, (E97-D97)/D97, 0)</f>
        <v/>
      </c>
      <c r="G97" s="16" t="n">
        <v>150.05</v>
      </c>
      <c r="H97" s="16" t="n">
        <v>142.18</v>
      </c>
      <c r="I97" s="16" t="n">
        <v>716.75</v>
      </c>
      <c r="J97" s="16" t="n">
        <v>633</v>
      </c>
      <c r="K97" s="23" t="n">
        <v>13106737</v>
      </c>
      <c r="L97" s="23" t="n">
        <v>13761138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1" workbookViewId="0">
      <selection activeCell="A1" sqref="A1"/>
    </sheetView>
  </sheetViews>
  <sheetFormatPr baseColWidth="8" defaultRowHeight="15"/>
  <cols>
    <col width="109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NODE.JS (FASTIFY) - DETAILED BENCHMARK SPECIFICATION</t>
        </is>
      </c>
    </row>
    <row r="2" ht="18" customHeight="1">
      <c r="A2" s="2" t="inlineStr">
        <is>
          <t>Runtime: Node.js 20 (Cluster / mysql2)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9" t="inlineStr">
        <is>
          <t>1table</t>
        </is>
      </c>
      <c r="D6" s="11" t="n">
        <v>2323.77</v>
      </c>
      <c r="E6" s="11" t="n">
        <v>9370.35</v>
      </c>
      <c r="F6" s="17">
        <f>IF(D6&gt;0, (E6-D6)/D6, 0)</f>
        <v/>
      </c>
      <c r="G6" s="11" t="n">
        <v>8.710000000000001</v>
      </c>
      <c r="H6" s="11" t="n">
        <v>4.44</v>
      </c>
      <c r="I6" s="11" t="n">
        <v>15.86</v>
      </c>
      <c r="J6" s="11" t="n">
        <v>13.65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0" t="inlineStr">
        <is>
          <t>2join</t>
        </is>
      </c>
      <c r="D7" s="16" t="n">
        <v>2915.43</v>
      </c>
      <c r="E7" s="16" t="n">
        <v>7681.56</v>
      </c>
      <c r="F7" s="17">
        <f>IF(D7&gt;0, (E7-D7)/D7, 0)</f>
        <v/>
      </c>
      <c r="G7" s="16" t="n">
        <v>6.98</v>
      </c>
      <c r="H7" s="16" t="n">
        <v>2.58</v>
      </c>
      <c r="I7" s="16" t="n">
        <v>13.38</v>
      </c>
      <c r="J7" s="16" t="n">
        <v>4.02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9" t="inlineStr">
        <is>
          <t>3join</t>
        </is>
      </c>
      <c r="D8" s="11" t="n">
        <v>315.02</v>
      </c>
      <c r="E8" s="11" t="n">
        <v>323.12</v>
      </c>
      <c r="F8" s="17">
        <f>IF(D8&gt;0, (E8-D8)/D8, 0)</f>
        <v/>
      </c>
      <c r="G8" s="11" t="n">
        <v>63.4</v>
      </c>
      <c r="H8" s="11" t="n">
        <v>61.83</v>
      </c>
      <c r="I8" s="11" t="n">
        <v>92.84999999999999</v>
      </c>
      <c r="J8" s="11" t="n">
        <v>101.73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0" t="inlineStr">
        <is>
          <t>4join</t>
        </is>
      </c>
      <c r="D9" s="16" t="n">
        <v>75.34</v>
      </c>
      <c r="E9" s="16" t="n">
        <v>78.98</v>
      </c>
      <c r="F9" s="17">
        <f>IF(D9&gt;0, (E9-D9)/D9, 0)</f>
        <v/>
      </c>
      <c r="G9" s="16" t="n">
        <v>264.16</v>
      </c>
      <c r="H9" s="16" t="n">
        <v>251.97</v>
      </c>
      <c r="I9" s="16" t="n">
        <v>419.57</v>
      </c>
      <c r="J9" s="16" t="n">
        <v>410.46</v>
      </c>
      <c r="K9" s="18" t="n">
        <v>0</v>
      </c>
      <c r="L9" s="18" t="n">
        <v>0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19" t="inlineStr">
        <is>
          <t>1table</t>
        </is>
      </c>
      <c r="D10" s="11" t="n">
        <v>2244.07</v>
      </c>
      <c r="E10" s="11" t="n">
        <v>11669.59</v>
      </c>
      <c r="F10" s="17">
        <f>IF(D10&gt;0, (E10-D10)/D10, 0)</f>
        <v/>
      </c>
      <c r="G10" s="11" t="n">
        <v>44.54</v>
      </c>
      <c r="H10" s="11" t="n">
        <v>8.56</v>
      </c>
      <c r="I10" s="11" t="n">
        <v>65.86</v>
      </c>
      <c r="J10" s="11" t="n">
        <v>12.1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0" t="inlineStr">
        <is>
          <t>2join</t>
        </is>
      </c>
      <c r="D11" s="16" t="n">
        <v>3095.74</v>
      </c>
      <c r="E11" s="16" t="n">
        <v>8539.620000000001</v>
      </c>
      <c r="F11" s="17">
        <f>IF(D11&gt;0, (E11-D11)/D11, 0)</f>
        <v/>
      </c>
      <c r="G11" s="16" t="n">
        <v>32.35</v>
      </c>
      <c r="H11" s="16" t="n">
        <v>11.74</v>
      </c>
      <c r="I11" s="16" t="n">
        <v>49.18</v>
      </c>
      <c r="J11" s="16" t="n">
        <v>19.08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19" t="inlineStr">
        <is>
          <t>3join</t>
        </is>
      </c>
      <c r="D12" s="11" t="n">
        <v>306.24</v>
      </c>
      <c r="E12" s="11" t="n">
        <v>317.57</v>
      </c>
      <c r="F12" s="17">
        <f>IF(D12&gt;0, (E12-D12)/D12, 0)</f>
        <v/>
      </c>
      <c r="G12" s="11" t="n">
        <v>325.36</v>
      </c>
      <c r="H12" s="11" t="n">
        <v>313.92</v>
      </c>
      <c r="I12" s="11" t="n">
        <v>486.65</v>
      </c>
      <c r="J12" s="11" t="n">
        <v>375.42</v>
      </c>
      <c r="K12" s="13" t="n">
        <v>0</v>
      </c>
      <c r="L12" s="13" t="n">
        <v>0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0" t="inlineStr">
        <is>
          <t>4join</t>
        </is>
      </c>
      <c r="D13" s="16" t="n">
        <v>71.89</v>
      </c>
      <c r="E13" s="16" t="n">
        <v>73.92</v>
      </c>
      <c r="F13" s="17">
        <f>IF(D13&gt;0, (E13-D13)/D13, 0)</f>
        <v/>
      </c>
      <c r="G13" s="16" t="n">
        <v>1370.91</v>
      </c>
      <c r="H13" s="16" t="n">
        <v>1336.82</v>
      </c>
      <c r="I13" s="16" t="n">
        <v>1719.59</v>
      </c>
      <c r="J13" s="16" t="n">
        <v>1568.69</v>
      </c>
      <c r="K13" s="23" t="n">
        <v>334</v>
      </c>
      <c r="L13" s="23" t="n">
        <v>41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19" t="inlineStr">
        <is>
          <t>1table</t>
        </is>
      </c>
      <c r="D14" s="11" t="n">
        <v>2114.42</v>
      </c>
      <c r="E14" s="11" t="n">
        <v>11008.03</v>
      </c>
      <c r="F14" s="17">
        <f>IF(D14&gt;0, (E14-D14)/D14, 0)</f>
        <v/>
      </c>
      <c r="G14" s="11" t="n">
        <v>234.08</v>
      </c>
      <c r="H14" s="11" t="n">
        <v>45.41</v>
      </c>
      <c r="I14" s="11" t="n">
        <v>327.02</v>
      </c>
      <c r="J14" s="11" t="n">
        <v>58.79</v>
      </c>
      <c r="K14" s="23" t="n">
        <v>2143</v>
      </c>
      <c r="L14" s="13" t="n">
        <v>0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0" t="inlineStr">
        <is>
          <t>2join</t>
        </is>
      </c>
      <c r="D15" s="16" t="n">
        <v>2827.51</v>
      </c>
      <c r="E15" s="16" t="n">
        <v>8221.16</v>
      </c>
      <c r="F15" s="17">
        <f>IF(D15&gt;0, (E15-D15)/D15, 0)</f>
        <v/>
      </c>
      <c r="G15" s="16" t="n">
        <v>177.61</v>
      </c>
      <c r="H15" s="16" t="n">
        <v>61.18</v>
      </c>
      <c r="I15" s="16" t="n">
        <v>248.09</v>
      </c>
      <c r="J15" s="16" t="n">
        <v>96.23999999999999</v>
      </c>
      <c r="K15" s="23" t="n">
        <v>955</v>
      </c>
      <c r="L15" s="18" t="n">
        <v>0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19" t="inlineStr">
        <is>
          <t>3join</t>
        </is>
      </c>
      <c r="D16" s="11" t="n">
        <v>305.91</v>
      </c>
      <c r="E16" s="11" t="n">
        <v>314.42</v>
      </c>
      <c r="F16" s="17">
        <f>IF(D16&gt;0, (E16-D16)/D16, 0)</f>
        <v/>
      </c>
      <c r="G16" s="11" t="n">
        <v>1415.86</v>
      </c>
      <c r="H16" s="11" t="n">
        <v>1446.85</v>
      </c>
      <c r="I16" s="11" t="n">
        <v>1931.56</v>
      </c>
      <c r="J16" s="11" t="n">
        <v>1911.77</v>
      </c>
      <c r="K16" s="23" t="n">
        <v>73167</v>
      </c>
      <c r="L16" s="23" t="n">
        <v>48968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0" t="inlineStr">
        <is>
          <t>4join</t>
        </is>
      </c>
      <c r="D17" s="16" t="n">
        <v>65.06</v>
      </c>
      <c r="E17" s="16" t="n">
        <v>66.75</v>
      </c>
      <c r="F17" s="17">
        <f>IF(D17&gt;0, (E17-D17)/D17, 0)</f>
        <v/>
      </c>
      <c r="G17" s="16" t="n">
        <v>1213.23</v>
      </c>
      <c r="H17" s="16" t="n">
        <v>1197.36</v>
      </c>
      <c r="I17" s="16" t="n">
        <v>1919.85</v>
      </c>
      <c r="J17" s="16" t="n">
        <v>1504.75</v>
      </c>
      <c r="K17" s="23" t="n">
        <v>77844</v>
      </c>
      <c r="L17" s="23" t="n">
        <v>80129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19" t="inlineStr">
        <is>
          <t>1table</t>
        </is>
      </c>
      <c r="D18" s="11" t="n">
        <v>1981.91</v>
      </c>
      <c r="E18" s="11" t="n">
        <v>8926.049999999999</v>
      </c>
      <c r="F18" s="17">
        <f>IF(D18&gt;0, (E18-D18)/D18, 0)</f>
        <v/>
      </c>
      <c r="G18" s="11" t="n">
        <v>880.17</v>
      </c>
      <c r="H18" s="11" t="n">
        <v>219.59</v>
      </c>
      <c r="I18" s="11" t="n">
        <v>1065.28</v>
      </c>
      <c r="J18" s="11" t="n">
        <v>254.1</v>
      </c>
      <c r="K18" s="23" t="n">
        <v>31079</v>
      </c>
      <c r="L18" s="23" t="n">
        <v>21829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0" t="inlineStr">
        <is>
          <t>2join</t>
        </is>
      </c>
      <c r="D19" s="16" t="n">
        <v>2582.4</v>
      </c>
      <c r="E19" s="16" t="n">
        <v>7887.25</v>
      </c>
      <c r="F19" s="17">
        <f>IF(D19&gt;0, (E19-D19)/D19, 0)</f>
        <v/>
      </c>
      <c r="G19" s="16" t="n">
        <v>700.37</v>
      </c>
      <c r="H19" s="16" t="n">
        <v>252.25</v>
      </c>
      <c r="I19" s="16" t="n">
        <v>834.9400000000001</v>
      </c>
      <c r="J19" s="16" t="n">
        <v>324.17</v>
      </c>
      <c r="K19" s="23" t="n">
        <v>30150</v>
      </c>
      <c r="L19" s="18" t="n">
        <v>0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19" t="inlineStr">
        <is>
          <t>3join</t>
        </is>
      </c>
      <c r="D20" s="11" t="n">
        <v>292.44</v>
      </c>
      <c r="E20" s="11" t="n">
        <v>307.08</v>
      </c>
      <c r="F20" s="17">
        <f>IF(D20&gt;0, (E20-D20)/D20, 0)</f>
        <v/>
      </c>
      <c r="G20" s="11" t="n">
        <v>69.72</v>
      </c>
      <c r="H20" s="11" t="n">
        <v>76.02</v>
      </c>
      <c r="I20" s="11" t="n">
        <v>92.76000000000001</v>
      </c>
      <c r="J20" s="11" t="n">
        <v>97.06</v>
      </c>
      <c r="K20" s="23" t="n">
        <v>701985</v>
      </c>
      <c r="L20" s="23" t="n">
        <v>737045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0" t="inlineStr">
        <is>
          <t>4join</t>
        </is>
      </c>
      <c r="D21" s="16" t="n">
        <v>56.42</v>
      </c>
      <c r="E21" s="16" t="n">
        <v>58.63</v>
      </c>
      <c r="F21" s="17">
        <f>IF(D21&gt;0, (E21-D21)/D21, 0)</f>
        <v/>
      </c>
      <c r="G21" s="16" t="n">
        <v>0</v>
      </c>
      <c r="H21" s="16" t="n">
        <v>83.20999999999999</v>
      </c>
      <c r="I21" s="16" t="n">
        <v>0</v>
      </c>
      <c r="J21" s="16" t="n">
        <v>83.20999999999999</v>
      </c>
      <c r="K21" s="23" t="n">
        <v>135483</v>
      </c>
      <c r="L21" s="23" t="n">
        <v>140816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19" t="inlineStr">
        <is>
          <t>1table</t>
        </is>
      </c>
      <c r="D22" s="11" t="n">
        <v>1928.95</v>
      </c>
      <c r="E22" s="11" t="n">
        <v>8837.76</v>
      </c>
      <c r="F22" s="17">
        <f>IF(D22&gt;0, (E22-D22)/D22, 0)</f>
        <v/>
      </c>
      <c r="G22" s="11" t="n">
        <v>1037.31</v>
      </c>
      <c r="H22" s="11" t="n">
        <v>1042.07</v>
      </c>
      <c r="I22" s="11" t="n">
        <v>1812.7</v>
      </c>
      <c r="J22" s="11" t="n">
        <v>1203.54</v>
      </c>
      <c r="K22" s="23" t="n">
        <v>8258870</v>
      </c>
      <c r="L22" s="23" t="n">
        <v>180492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0" t="inlineStr">
        <is>
          <t>2join</t>
        </is>
      </c>
      <c r="D23" s="16" t="n">
        <v>2559.21</v>
      </c>
      <c r="E23" s="16" t="n">
        <v>7714.14</v>
      </c>
      <c r="F23" s="17">
        <f>IF(D23&gt;0, (E23-D23)/D23, 0)</f>
        <v/>
      </c>
      <c r="G23" s="16" t="n">
        <v>1074.31</v>
      </c>
      <c r="H23" s="16" t="n">
        <v>1274.63</v>
      </c>
      <c r="I23" s="16" t="n">
        <v>1901.15</v>
      </c>
      <c r="J23" s="16" t="n">
        <v>1763.88</v>
      </c>
      <c r="K23" s="23" t="n">
        <v>10643574</v>
      </c>
      <c r="L23" s="23" t="n">
        <v>279920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19" t="inlineStr">
        <is>
          <t>3join</t>
        </is>
      </c>
      <c r="D24" s="11" t="n">
        <v>269.37</v>
      </c>
      <c r="E24" s="11" t="n">
        <v>284.82</v>
      </c>
      <c r="F24" s="17">
        <f>IF(D24&gt;0, (E24-D24)/D24, 0)</f>
        <v/>
      </c>
      <c r="G24" s="11" t="n">
        <v>66.58</v>
      </c>
      <c r="H24" s="11" t="n">
        <v>72.38</v>
      </c>
      <c r="I24" s="11" t="n">
        <v>93.3</v>
      </c>
      <c r="J24" s="11" t="n">
        <v>98.26000000000001</v>
      </c>
      <c r="K24" s="23" t="n">
        <v>1616502</v>
      </c>
      <c r="L24" s="23" t="n">
        <v>1709102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0" t="inlineStr">
        <is>
          <t>4join</t>
        </is>
      </c>
      <c r="D25" s="16" t="n">
        <v>39.25</v>
      </c>
      <c r="E25" s="16" t="n">
        <v>41.95</v>
      </c>
      <c r="F25" s="17">
        <f>IF(D25&gt;0, (E25-D25)/D25, 0)</f>
        <v/>
      </c>
      <c r="G25" s="16" t="n">
        <v>0</v>
      </c>
      <c r="H25" s="16" t="n">
        <v>0</v>
      </c>
      <c r="I25" s="16" t="n">
        <v>0</v>
      </c>
      <c r="J25" s="16" t="n">
        <v>0</v>
      </c>
      <c r="K25" s="23" t="n">
        <v>238186</v>
      </c>
      <c r="L25" s="23" t="n">
        <v>251820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9" t="inlineStr">
        <is>
          <t>1table</t>
        </is>
      </c>
      <c r="D42" s="11" t="n">
        <v>2324.28</v>
      </c>
      <c r="E42" s="11" t="n">
        <v>11396.15</v>
      </c>
      <c r="F42" s="17">
        <f>IF(D42&gt;0, (E42-D42)/D42, 0)</f>
        <v/>
      </c>
      <c r="G42" s="11" t="n">
        <v>8.710000000000001</v>
      </c>
      <c r="H42" s="11" t="n">
        <v>1.74</v>
      </c>
      <c r="I42" s="11" t="n">
        <v>15.89</v>
      </c>
      <c r="J42" s="11" t="n">
        <v>2.48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20" t="inlineStr">
        <is>
          <t>2join</t>
        </is>
      </c>
      <c r="D43" s="16" t="n">
        <v>2939.46</v>
      </c>
      <c r="E43" s="16" t="n">
        <v>7329.41</v>
      </c>
      <c r="F43" s="17">
        <f>IF(D43&gt;0, (E43-D43)/D43, 0)</f>
        <v/>
      </c>
      <c r="G43" s="16" t="n">
        <v>6.91</v>
      </c>
      <c r="H43" s="16" t="n">
        <v>2.71</v>
      </c>
      <c r="I43" s="16" t="n">
        <v>13.19</v>
      </c>
      <c r="J43" s="16" t="n">
        <v>4.23</v>
      </c>
      <c r="K43" s="18" t="n">
        <v>0</v>
      </c>
      <c r="L43" s="18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9" t="inlineStr">
        <is>
          <t>3join</t>
        </is>
      </c>
      <c r="D44" s="11" t="n">
        <v>1721.4</v>
      </c>
      <c r="E44" s="11" t="n">
        <v>2042.72</v>
      </c>
      <c r="F44" s="17">
        <f>IF(D44&gt;0, (E44-D44)/D44, 0)</f>
        <v/>
      </c>
      <c r="G44" s="11" t="n">
        <v>11.68</v>
      </c>
      <c r="H44" s="11" t="n">
        <v>9.869999999999999</v>
      </c>
      <c r="I44" s="11" t="n">
        <v>19.91</v>
      </c>
      <c r="J44" s="11" t="n">
        <v>17.93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20" t="inlineStr">
        <is>
          <t>4join</t>
        </is>
      </c>
      <c r="D45" s="16" t="n">
        <v>1326.75</v>
      </c>
      <c r="E45" s="16" t="n">
        <v>1871.82</v>
      </c>
      <c r="F45" s="17">
        <f>IF(D45&gt;0, (E45-D45)/D45, 0)</f>
        <v/>
      </c>
      <c r="G45" s="16" t="n">
        <v>15.14</v>
      </c>
      <c r="H45" s="16" t="n">
        <v>10.73</v>
      </c>
      <c r="I45" s="16" t="n">
        <v>25.33</v>
      </c>
      <c r="J45" s="16" t="n">
        <v>18.32</v>
      </c>
      <c r="K45" s="18" t="n">
        <v>0</v>
      </c>
      <c r="L45" s="18" t="n">
        <v>0</v>
      </c>
    </row>
    <row r="46" ht="20" customHeight="1">
      <c r="A46" s="9" t="inlineStr">
        <is>
          <t>Small</t>
        </is>
      </c>
      <c r="B46" s="9" t="inlineStr">
        <is>
          <t>100 conn (4 threads)</t>
        </is>
      </c>
      <c r="C46" s="19" t="inlineStr">
        <is>
          <t>1table</t>
        </is>
      </c>
      <c r="D46" s="11" t="n">
        <v>2274.45</v>
      </c>
      <c r="E46" s="11" t="n">
        <v>11589.14</v>
      </c>
      <c r="F46" s="17">
        <f>IF(D46&gt;0, (E46-D46)/D46, 0)</f>
        <v/>
      </c>
      <c r="G46" s="11" t="n">
        <v>43.95</v>
      </c>
      <c r="H46" s="11" t="n">
        <v>8.609999999999999</v>
      </c>
      <c r="I46" s="11" t="n">
        <v>64.20999999999999</v>
      </c>
      <c r="J46" s="11" t="n">
        <v>12.12</v>
      </c>
      <c r="K46" s="13" t="n">
        <v>0</v>
      </c>
      <c r="L46" s="13" t="n">
        <v>0</v>
      </c>
    </row>
    <row r="47" ht="20" customHeight="1">
      <c r="A47" s="14" t="inlineStr">
        <is>
          <t>Small</t>
        </is>
      </c>
      <c r="B47" s="14" t="inlineStr">
        <is>
          <t>100 conn (4 threads)</t>
        </is>
      </c>
      <c r="C47" s="20" t="inlineStr">
        <is>
          <t>2join</t>
        </is>
      </c>
      <c r="D47" s="16" t="n">
        <v>3136.8</v>
      </c>
      <c r="E47" s="16" t="n">
        <v>8027.12</v>
      </c>
      <c r="F47" s="17">
        <f>IF(D47&gt;0, (E47-D47)/D47, 0)</f>
        <v/>
      </c>
      <c r="G47" s="16" t="n">
        <v>31.9</v>
      </c>
      <c r="H47" s="16" t="n">
        <v>12.5</v>
      </c>
      <c r="I47" s="16" t="n">
        <v>47.68</v>
      </c>
      <c r="J47" s="16" t="n">
        <v>20.76</v>
      </c>
      <c r="K47" s="18" t="n">
        <v>0</v>
      </c>
      <c r="L47" s="18" t="n">
        <v>0</v>
      </c>
    </row>
    <row r="48" ht="20" customHeight="1">
      <c r="A48" s="9" t="inlineStr">
        <is>
          <t>Small</t>
        </is>
      </c>
      <c r="B48" s="9" t="inlineStr">
        <is>
          <t>100 conn (4 threads)</t>
        </is>
      </c>
      <c r="C48" s="19" t="inlineStr">
        <is>
          <t>3join</t>
        </is>
      </c>
      <c r="D48" s="11" t="n">
        <v>1809.6</v>
      </c>
      <c r="E48" s="11" t="n">
        <v>2053.42</v>
      </c>
      <c r="F48" s="17">
        <f>IF(D48&gt;0, (E48-D48)/D48, 0)</f>
        <v/>
      </c>
      <c r="G48" s="11" t="n">
        <v>55.94</v>
      </c>
      <c r="H48" s="11" t="n">
        <v>56.02</v>
      </c>
      <c r="I48" s="11" t="n">
        <v>103.14</v>
      </c>
      <c r="J48" s="11" t="n">
        <v>151.15</v>
      </c>
      <c r="K48" s="13" t="n">
        <v>0</v>
      </c>
      <c r="L48" s="13" t="n">
        <v>0</v>
      </c>
    </row>
    <row r="49" ht="20" customHeight="1">
      <c r="A49" s="14" t="inlineStr">
        <is>
          <t>Small</t>
        </is>
      </c>
      <c r="B49" s="14" t="inlineStr">
        <is>
          <t>100 conn (4 threads)</t>
        </is>
      </c>
      <c r="C49" s="20" t="inlineStr">
        <is>
          <t>4join</t>
        </is>
      </c>
      <c r="D49" s="16" t="n">
        <v>1475.28</v>
      </c>
      <c r="E49" s="16" t="n">
        <v>1777.36</v>
      </c>
      <c r="F49" s="17">
        <f>IF(D49&gt;0, (E49-D49)/D49, 0)</f>
        <v/>
      </c>
      <c r="G49" s="16" t="n">
        <v>67.98999999999999</v>
      </c>
      <c r="H49" s="16" t="n">
        <v>61.21</v>
      </c>
      <c r="I49" s="16" t="n">
        <v>114.46</v>
      </c>
      <c r="J49" s="16" t="n">
        <v>150.24</v>
      </c>
      <c r="K49" s="18" t="n">
        <v>0</v>
      </c>
      <c r="L49" s="18" t="n">
        <v>0</v>
      </c>
    </row>
    <row r="50" ht="20" customHeight="1">
      <c r="A50" s="9" t="inlineStr">
        <is>
          <t>General</t>
        </is>
      </c>
      <c r="B50" s="9" t="inlineStr">
        <is>
          <t>500 conn (8 threads)</t>
        </is>
      </c>
      <c r="C50" s="19" t="inlineStr">
        <is>
          <t>1table</t>
        </is>
      </c>
      <c r="D50" s="11" t="n">
        <v>2110.13</v>
      </c>
      <c r="E50" s="11" t="n">
        <v>10689.56</v>
      </c>
      <c r="F50" s="17">
        <f>IF(D50&gt;0, (E50-D50)/D50, 0)</f>
        <v/>
      </c>
      <c r="G50" s="11" t="n">
        <v>234.46</v>
      </c>
      <c r="H50" s="11" t="n">
        <v>46.77</v>
      </c>
      <c r="I50" s="11" t="n">
        <v>327.55</v>
      </c>
      <c r="J50" s="11" t="n">
        <v>60.08</v>
      </c>
      <c r="K50" s="23" t="n">
        <v>2211</v>
      </c>
      <c r="L50" s="13" t="n">
        <v>0</v>
      </c>
    </row>
    <row r="51" ht="20" customHeight="1">
      <c r="A51" s="14" t="inlineStr">
        <is>
          <t>General</t>
        </is>
      </c>
      <c r="B51" s="14" t="inlineStr">
        <is>
          <t>500 conn (8 threads)</t>
        </is>
      </c>
      <c r="C51" s="20" t="inlineStr">
        <is>
          <t>2join</t>
        </is>
      </c>
      <c r="D51" s="16" t="n">
        <v>2834.05</v>
      </c>
      <c r="E51" s="16" t="n">
        <v>7707.46</v>
      </c>
      <c r="F51" s="17">
        <f>IF(D51&gt;0, (E51-D51)/D51, 0)</f>
        <v/>
      </c>
      <c r="G51" s="16" t="n">
        <v>177.34</v>
      </c>
      <c r="H51" s="16" t="n">
        <v>65.31999999999999</v>
      </c>
      <c r="I51" s="16" t="n">
        <v>247.78</v>
      </c>
      <c r="J51" s="16" t="n">
        <v>106.54</v>
      </c>
      <c r="K51" s="23" t="n">
        <v>941</v>
      </c>
      <c r="L51" s="18" t="n">
        <v>0</v>
      </c>
    </row>
    <row r="52" ht="20" customHeight="1">
      <c r="A52" s="9" t="inlineStr">
        <is>
          <t>General</t>
        </is>
      </c>
      <c r="B52" s="9" t="inlineStr">
        <is>
          <t>500 conn (8 threads)</t>
        </is>
      </c>
      <c r="C52" s="19" t="inlineStr">
        <is>
          <t>3join</t>
        </is>
      </c>
      <c r="D52" s="11" t="n">
        <v>1680.64</v>
      </c>
      <c r="E52" s="11" t="n">
        <v>2038.53</v>
      </c>
      <c r="F52" s="17">
        <f>IF(D52&gt;0, (E52-D52)/D52, 0)</f>
        <v/>
      </c>
      <c r="G52" s="11" t="n">
        <v>308.02</v>
      </c>
      <c r="H52" s="11" t="n">
        <v>278.47</v>
      </c>
      <c r="I52" s="11" t="n">
        <v>678.05</v>
      </c>
      <c r="J52" s="11" t="n">
        <v>755.21</v>
      </c>
      <c r="K52" s="23" t="n">
        <v>68</v>
      </c>
      <c r="L52" s="23" t="n">
        <v>206</v>
      </c>
    </row>
    <row r="53" ht="20" customHeight="1">
      <c r="A53" s="14" t="inlineStr">
        <is>
          <t>General</t>
        </is>
      </c>
      <c r="B53" s="14" t="inlineStr">
        <is>
          <t>500 conn (8 threads)</t>
        </is>
      </c>
      <c r="C53" s="20" t="inlineStr">
        <is>
          <t>4join</t>
        </is>
      </c>
      <c r="D53" s="16" t="n">
        <v>1330.33</v>
      </c>
      <c r="E53" s="16" t="n">
        <v>1660.4</v>
      </c>
      <c r="F53" s="17">
        <f>IF(D53&gt;0, (E53-D53)/D53, 0)</f>
        <v/>
      </c>
      <c r="G53" s="16" t="n">
        <v>377.01</v>
      </c>
      <c r="H53" s="16" t="n">
        <v>320.3</v>
      </c>
      <c r="I53" s="16" t="n">
        <v>716.08</v>
      </c>
      <c r="J53" s="16" t="n">
        <v>772.98</v>
      </c>
      <c r="K53" s="23" t="n">
        <v>34</v>
      </c>
      <c r="L53" s="23" t="n">
        <v>74</v>
      </c>
    </row>
    <row r="54" ht="20" customHeight="1">
      <c r="A54" s="9" t="inlineStr">
        <is>
          <t>High</t>
        </is>
      </c>
      <c r="B54" s="9" t="inlineStr">
        <is>
          <t>2,000 conn (8 threads)</t>
        </is>
      </c>
      <c r="C54" s="19" t="inlineStr">
        <is>
          <t>1table</t>
        </is>
      </c>
      <c r="D54" s="11" t="n">
        <v>1983.85</v>
      </c>
      <c r="E54" s="11" t="n">
        <v>8852.6</v>
      </c>
      <c r="F54" s="17">
        <f>IF(D54&gt;0, (E54-D54)/D54, 0)</f>
        <v/>
      </c>
      <c r="G54" s="11" t="n">
        <v>879.2</v>
      </c>
      <c r="H54" s="11" t="n">
        <v>221.45</v>
      </c>
      <c r="I54" s="11" t="n">
        <v>1067.71</v>
      </c>
      <c r="J54" s="11" t="n">
        <v>256.23</v>
      </c>
      <c r="K54" s="23" t="n">
        <v>31227</v>
      </c>
      <c r="L54" s="23" t="n">
        <v>21655</v>
      </c>
    </row>
    <row r="55" ht="20" customHeight="1">
      <c r="A55" s="14" t="inlineStr">
        <is>
          <t>High</t>
        </is>
      </c>
      <c r="B55" s="14" t="inlineStr">
        <is>
          <t>2,000 conn (8 threads)</t>
        </is>
      </c>
      <c r="C55" s="20" t="inlineStr">
        <is>
          <t>2join</t>
        </is>
      </c>
      <c r="D55" s="16" t="n">
        <v>2578.22</v>
      </c>
      <c r="E55" s="16" t="n">
        <v>7412.03</v>
      </c>
      <c r="F55" s="17">
        <f>IF(D55&gt;0, (E55-D55)/D55, 0)</f>
        <v/>
      </c>
      <c r="G55" s="16" t="n">
        <v>700.91</v>
      </c>
      <c r="H55" s="16" t="n">
        <v>268.35</v>
      </c>
      <c r="I55" s="16" t="n">
        <v>838.28</v>
      </c>
      <c r="J55" s="16" t="n">
        <v>350.92</v>
      </c>
      <c r="K55" s="23" t="n">
        <v>30398</v>
      </c>
      <c r="L55" s="18" t="n">
        <v>0</v>
      </c>
    </row>
    <row r="56" ht="20" customHeight="1">
      <c r="A56" s="9" t="inlineStr">
        <is>
          <t>High</t>
        </is>
      </c>
      <c r="B56" s="9" t="inlineStr">
        <is>
          <t>2,000 conn (8 threads)</t>
        </is>
      </c>
      <c r="C56" s="19" t="inlineStr">
        <is>
          <t>3join</t>
        </is>
      </c>
      <c r="D56" s="11" t="n">
        <v>1845.66</v>
      </c>
      <c r="E56" s="11" t="n">
        <v>2050.54</v>
      </c>
      <c r="F56" s="17">
        <f>IF(D56&gt;0, (E56-D56)/D56, 0)</f>
        <v/>
      </c>
      <c r="G56" s="11" t="n">
        <v>1000.33</v>
      </c>
      <c r="H56" s="11" t="n">
        <v>961.4299999999999</v>
      </c>
      <c r="I56" s="11" t="n">
        <v>1303.58</v>
      </c>
      <c r="J56" s="11" t="n">
        <v>1454.96</v>
      </c>
      <c r="K56" s="23" t="n">
        <v>26031</v>
      </c>
      <c r="L56" s="23" t="n">
        <v>21822</v>
      </c>
    </row>
    <row r="57" ht="20" customHeight="1">
      <c r="A57" s="14" t="inlineStr">
        <is>
          <t>High</t>
        </is>
      </c>
      <c r="B57" s="14" t="inlineStr">
        <is>
          <t>2,000 conn (8 threads)</t>
        </is>
      </c>
      <c r="C57" s="20" t="inlineStr">
        <is>
          <t>4join</t>
        </is>
      </c>
      <c r="D57" s="16" t="n">
        <v>1480.08</v>
      </c>
      <c r="E57" s="16" t="n">
        <v>1647.58</v>
      </c>
      <c r="F57" s="17">
        <f>IF(D57&gt;0, (E57-D57)/D57, 0)</f>
        <v/>
      </c>
      <c r="G57" s="16" t="n">
        <v>1206.14</v>
      </c>
      <c r="H57" s="16" t="n">
        <v>1191.38</v>
      </c>
      <c r="I57" s="16" t="n">
        <v>1554.63</v>
      </c>
      <c r="J57" s="16" t="n">
        <v>1655.9</v>
      </c>
      <c r="K57" s="23" t="n">
        <v>29676</v>
      </c>
      <c r="L57" s="23" t="n">
        <v>41646</v>
      </c>
    </row>
    <row r="58" ht="20" customHeight="1">
      <c r="A58" s="9" t="inlineStr">
        <is>
          <t>Stress</t>
        </is>
      </c>
      <c r="B58" s="9" t="inlineStr">
        <is>
          <t>10,000 conn (16 threads)</t>
        </is>
      </c>
      <c r="C58" s="19" t="inlineStr">
        <is>
          <t>1table</t>
        </is>
      </c>
      <c r="D58" s="11" t="n">
        <v>1972.18</v>
      </c>
      <c r="E58" s="11" t="n">
        <v>9123.709999999999</v>
      </c>
      <c r="F58" s="17">
        <f>IF(D58&gt;0, (E58-D58)/D58, 0)</f>
        <v/>
      </c>
      <c r="G58" s="11" t="n">
        <v>1098.68</v>
      </c>
      <c r="H58" s="11" t="n">
        <v>1011.93</v>
      </c>
      <c r="I58" s="11" t="n">
        <v>1912.77</v>
      </c>
      <c r="J58" s="11" t="n">
        <v>1168.41</v>
      </c>
      <c r="K58" s="23" t="n">
        <v>8247289</v>
      </c>
      <c r="L58" s="23" t="n">
        <v>176890</v>
      </c>
    </row>
    <row r="59" ht="20" customHeight="1">
      <c r="A59" s="14" t="inlineStr">
        <is>
          <t>Stress</t>
        </is>
      </c>
      <c r="B59" s="14" t="inlineStr">
        <is>
          <t>10,000 conn (16 threads)</t>
        </is>
      </c>
      <c r="C59" s="20" t="inlineStr">
        <is>
          <t>2join</t>
        </is>
      </c>
      <c r="D59" s="16" t="n">
        <v>2599.09</v>
      </c>
      <c r="E59" s="16" t="n">
        <v>7475.35</v>
      </c>
      <c r="F59" s="17">
        <f>IF(D59&gt;0, (E59-D59)/D59, 0)</f>
        <v/>
      </c>
      <c r="G59" s="16" t="n">
        <v>1079.74</v>
      </c>
      <c r="H59" s="16" t="n">
        <v>1318.69</v>
      </c>
      <c r="I59" s="16" t="n">
        <v>1908.78</v>
      </c>
      <c r="J59" s="16" t="n">
        <v>1779.14</v>
      </c>
      <c r="K59" s="23" t="n">
        <v>10759323</v>
      </c>
      <c r="L59" s="23" t="n">
        <v>418468</v>
      </c>
    </row>
    <row r="60" ht="20" customHeight="1">
      <c r="A60" s="9" t="inlineStr">
        <is>
          <t>Stress</t>
        </is>
      </c>
      <c r="B60" s="9" t="inlineStr">
        <is>
          <t>10,000 conn (16 threads)</t>
        </is>
      </c>
      <c r="C60" s="19" t="inlineStr">
        <is>
          <t>3join</t>
        </is>
      </c>
      <c r="D60" s="11" t="n">
        <v>1826.45</v>
      </c>
      <c r="E60" s="11" t="n">
        <v>1974.14</v>
      </c>
      <c r="F60" s="17">
        <f>IF(D60&gt;0, (E60-D60)/D60, 0)</f>
        <v/>
      </c>
      <c r="G60" s="11" t="n">
        <v>1249.1</v>
      </c>
      <c r="H60" s="11" t="n">
        <v>59</v>
      </c>
      <c r="I60" s="11" t="n">
        <v>1920.58</v>
      </c>
      <c r="J60" s="11" t="n">
        <v>95.39</v>
      </c>
      <c r="K60" s="23" t="n">
        <v>8368189</v>
      </c>
      <c r="L60" s="23" t="n">
        <v>11842997</v>
      </c>
    </row>
    <row r="61" ht="20" customHeight="1">
      <c r="A61" s="14" t="inlineStr">
        <is>
          <t>Stress</t>
        </is>
      </c>
      <c r="B61" s="14" t="inlineStr">
        <is>
          <t>10,000 conn (16 threads)</t>
        </is>
      </c>
      <c r="C61" s="20" t="inlineStr">
        <is>
          <t>4join</t>
        </is>
      </c>
      <c r="D61" s="16" t="n">
        <v>1450.83</v>
      </c>
      <c r="E61" s="16" t="n">
        <v>1628.15</v>
      </c>
      <c r="F61" s="17">
        <f>IF(D61&gt;0, (E61-D61)/D61, 0)</f>
        <v/>
      </c>
      <c r="G61" s="16" t="n">
        <v>1275.16</v>
      </c>
      <c r="H61" s="16" t="n">
        <v>59.78</v>
      </c>
      <c r="I61" s="16" t="n">
        <v>1927.89</v>
      </c>
      <c r="J61" s="16" t="n">
        <v>95.06999999999999</v>
      </c>
      <c r="K61" s="23" t="n">
        <v>6638104</v>
      </c>
      <c r="L61" s="23" t="n">
        <v>9768187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9" t="inlineStr">
        <is>
          <t>1table</t>
        </is>
      </c>
      <c r="D78" s="11" t="n">
        <v>10604.52</v>
      </c>
      <c r="E78" s="11" t="n">
        <v>14308.05</v>
      </c>
      <c r="F78" s="17">
        <f>IF(D78&gt;0, (E78-D78)/D78, 0)</f>
        <v/>
      </c>
      <c r="G78" s="11" t="n">
        <v>2.07</v>
      </c>
      <c r="H78" s="11" t="n">
        <v>1.65</v>
      </c>
      <c r="I78" s="11" t="n">
        <v>3.83</v>
      </c>
      <c r="J78" s="11" t="n">
        <v>2.83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20" t="inlineStr">
        <is>
          <t>2table</t>
        </is>
      </c>
      <c r="D79" s="16" t="n">
        <v>4672.64</v>
      </c>
      <c r="E79" s="16" t="n">
        <v>5908.4</v>
      </c>
      <c r="F79" s="17">
        <f>IF(D79&gt;0, (E79-D79)/D79, 0)</f>
        <v/>
      </c>
      <c r="G79" s="16" t="n">
        <v>4.42</v>
      </c>
      <c r="H79" s="16" t="n">
        <v>3.81</v>
      </c>
      <c r="I79" s="16" t="n">
        <v>7.13</v>
      </c>
      <c r="J79" s="16" t="n">
        <v>5.45</v>
      </c>
      <c r="K79" s="18" t="n">
        <v>0</v>
      </c>
      <c r="L79" s="18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9" t="inlineStr">
        <is>
          <t>3table</t>
        </is>
      </c>
      <c r="D80" s="11" t="n">
        <v>3861.93</v>
      </c>
      <c r="E80" s="11" t="n">
        <v>4863.33</v>
      </c>
      <c r="F80" s="17">
        <f>IF(D80&gt;0, (E80-D80)/D80, 0)</f>
        <v/>
      </c>
      <c r="G80" s="11" t="n">
        <v>5.31</v>
      </c>
      <c r="H80" s="11" t="n">
        <v>4.28</v>
      </c>
      <c r="I80" s="11" t="n">
        <v>8.43</v>
      </c>
      <c r="J80" s="11" t="n">
        <v>6.43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20" t="inlineStr">
        <is>
          <t>4table</t>
        </is>
      </c>
      <c r="D81" s="16" t="n">
        <v>2885.08</v>
      </c>
      <c r="E81" s="16" t="n">
        <v>3625.69</v>
      </c>
      <c r="F81" s="17">
        <f>IF(D81&gt;0, (E81-D81)/D81, 0)</f>
        <v/>
      </c>
      <c r="G81" s="16" t="n">
        <v>7.09</v>
      </c>
      <c r="H81" s="16" t="n">
        <v>5.7</v>
      </c>
      <c r="I81" s="16" t="n">
        <v>11.4</v>
      </c>
      <c r="J81" s="16" t="n">
        <v>8.539999999999999</v>
      </c>
      <c r="K81" s="18" t="n">
        <v>0</v>
      </c>
      <c r="L81" s="18" t="n">
        <v>0</v>
      </c>
    </row>
    <row r="82" ht="20" customHeight="1">
      <c r="A82" s="9" t="inlineStr">
        <is>
          <t>Small</t>
        </is>
      </c>
      <c r="B82" s="9" t="inlineStr">
        <is>
          <t>100 conn (4 threads)</t>
        </is>
      </c>
      <c r="C82" s="19" t="inlineStr">
        <is>
          <t>1table</t>
        </is>
      </c>
      <c r="D82" s="11" t="n">
        <v>9095.809999999999</v>
      </c>
      <c r="E82" s="11" t="n">
        <v>14305.56</v>
      </c>
      <c r="F82" s="17">
        <f>IF(D82&gt;0, (E82-D82)/D82, 0)</f>
        <v/>
      </c>
      <c r="G82" s="11" t="n">
        <v>21.29</v>
      </c>
      <c r="H82" s="11" t="n">
        <v>9.16</v>
      </c>
      <c r="I82" s="11" t="n">
        <v>91.61</v>
      </c>
      <c r="J82" s="11" t="n">
        <v>25.71</v>
      </c>
      <c r="K82" s="13" t="n">
        <v>0</v>
      </c>
      <c r="L82" s="13" t="n">
        <v>0</v>
      </c>
    </row>
    <row r="83" ht="20" customHeight="1">
      <c r="A83" s="14" t="inlineStr">
        <is>
          <t>Small</t>
        </is>
      </c>
      <c r="B83" s="14" t="inlineStr">
        <is>
          <t>100 conn (4 threads)</t>
        </is>
      </c>
      <c r="C83" s="20" t="inlineStr">
        <is>
          <t>2table</t>
        </is>
      </c>
      <c r="D83" s="16" t="n">
        <v>5005.85</v>
      </c>
      <c r="E83" s="16" t="n">
        <v>6300.88</v>
      </c>
      <c r="F83" s="17">
        <f>IF(D83&gt;0, (E83-D83)/D83, 0)</f>
        <v/>
      </c>
      <c r="G83" s="16" t="n">
        <v>20.24</v>
      </c>
      <c r="H83" s="16" t="n">
        <v>16.36</v>
      </c>
      <c r="I83" s="16" t="n">
        <v>30.51</v>
      </c>
      <c r="J83" s="16" t="n">
        <v>23.54</v>
      </c>
      <c r="K83" s="18" t="n">
        <v>0</v>
      </c>
      <c r="L83" s="18" t="n">
        <v>0</v>
      </c>
    </row>
    <row r="84" ht="20" customHeight="1">
      <c r="A84" s="9" t="inlineStr">
        <is>
          <t>Small</t>
        </is>
      </c>
      <c r="B84" s="9" t="inlineStr">
        <is>
          <t>100 conn (4 threads)</t>
        </is>
      </c>
      <c r="C84" s="19" t="inlineStr">
        <is>
          <t>3table</t>
        </is>
      </c>
      <c r="D84" s="11" t="n">
        <v>4180.3</v>
      </c>
      <c r="E84" s="11" t="n">
        <v>5220.53</v>
      </c>
      <c r="F84" s="17">
        <f>IF(D84&gt;0, (E84-D84)/D84, 0)</f>
        <v/>
      </c>
      <c r="G84" s="11" t="n">
        <v>24.08</v>
      </c>
      <c r="H84" s="11" t="n">
        <v>19.65</v>
      </c>
      <c r="I84" s="11" t="n">
        <v>35.6</v>
      </c>
      <c r="J84" s="11" t="n">
        <v>28.24</v>
      </c>
      <c r="K84" s="13" t="n">
        <v>0</v>
      </c>
      <c r="L84" s="13" t="n">
        <v>0</v>
      </c>
    </row>
    <row r="85" ht="20" customHeight="1">
      <c r="A85" s="14" t="inlineStr">
        <is>
          <t>Small</t>
        </is>
      </c>
      <c r="B85" s="14" t="inlineStr">
        <is>
          <t>100 conn (4 threads)</t>
        </is>
      </c>
      <c r="C85" s="20" t="inlineStr">
        <is>
          <t>4table</t>
        </is>
      </c>
      <c r="D85" s="16" t="n">
        <v>3115.32</v>
      </c>
      <c r="E85" s="16" t="n">
        <v>3822.98</v>
      </c>
      <c r="F85" s="17">
        <f>IF(D85&gt;0, (E85-D85)/D85, 0)</f>
        <v/>
      </c>
      <c r="G85" s="16" t="n">
        <v>32.23</v>
      </c>
      <c r="H85" s="16" t="n">
        <v>26.47</v>
      </c>
      <c r="I85" s="16" t="n">
        <v>46.84</v>
      </c>
      <c r="J85" s="16" t="n">
        <v>39.84</v>
      </c>
      <c r="K85" s="18" t="n">
        <v>0</v>
      </c>
      <c r="L85" s="18" t="n">
        <v>0</v>
      </c>
    </row>
    <row r="86" ht="20" customHeight="1">
      <c r="A86" s="9" t="inlineStr">
        <is>
          <t>General</t>
        </is>
      </c>
      <c r="B86" s="9" t="inlineStr">
        <is>
          <t>500 conn (8 threads)</t>
        </is>
      </c>
      <c r="C86" s="19" t="inlineStr">
        <is>
          <t>1table</t>
        </is>
      </c>
      <c r="D86" s="11" t="n">
        <v>7311.04</v>
      </c>
      <c r="E86" s="11" t="n">
        <v>9339.360000000001</v>
      </c>
      <c r="F86" s="17">
        <f>IF(D86&gt;0, (E86-D86)/D86, 0)</f>
        <v/>
      </c>
      <c r="G86" s="11" t="n">
        <v>205.22</v>
      </c>
      <c r="H86" s="11" t="n">
        <v>169.69</v>
      </c>
      <c r="I86" s="11" t="n">
        <v>938.87</v>
      </c>
      <c r="J86" s="11" t="n">
        <v>765.92</v>
      </c>
      <c r="K86" s="23" t="n">
        <v>16045</v>
      </c>
      <c r="L86" s="23" t="n">
        <v>4658</v>
      </c>
    </row>
    <row r="87" ht="20" customHeight="1">
      <c r="A87" s="14" t="inlineStr">
        <is>
          <t>General</t>
        </is>
      </c>
      <c r="B87" s="14" t="inlineStr">
        <is>
          <t>500 conn (8 threads)</t>
        </is>
      </c>
      <c r="C87" s="20" t="inlineStr">
        <is>
          <t>2table</t>
        </is>
      </c>
      <c r="D87" s="16" t="n">
        <v>4718.4</v>
      </c>
      <c r="E87" s="16" t="n">
        <v>5874.18</v>
      </c>
      <c r="F87" s="17">
        <f>IF(D87&gt;0, (E87-D87)/D87, 0)</f>
        <v/>
      </c>
      <c r="G87" s="16" t="n">
        <v>108.29</v>
      </c>
      <c r="H87" s="16" t="n">
        <v>87.58</v>
      </c>
      <c r="I87" s="16" t="n">
        <v>192.58</v>
      </c>
      <c r="J87" s="16" t="n">
        <v>158.97</v>
      </c>
      <c r="K87" s="18" t="n">
        <v>0</v>
      </c>
      <c r="L87" s="18" t="n">
        <v>0</v>
      </c>
    </row>
    <row r="88" ht="20" customHeight="1">
      <c r="A88" s="9" t="inlineStr">
        <is>
          <t>General</t>
        </is>
      </c>
      <c r="B88" s="9" t="inlineStr">
        <is>
          <t>500 conn (8 threads)</t>
        </is>
      </c>
      <c r="C88" s="19" t="inlineStr">
        <is>
          <t>3table</t>
        </is>
      </c>
      <c r="D88" s="11" t="n">
        <v>3979.22</v>
      </c>
      <c r="E88" s="11" t="n">
        <v>4887.96</v>
      </c>
      <c r="F88" s="17">
        <f>IF(D88&gt;0, (E88-D88)/D88, 0)</f>
        <v/>
      </c>
      <c r="G88" s="11" t="n">
        <v>125.76</v>
      </c>
      <c r="H88" s="11" t="n">
        <v>103.36</v>
      </c>
      <c r="I88" s="11" t="n">
        <v>190.09</v>
      </c>
      <c r="J88" s="11" t="n">
        <v>173.81</v>
      </c>
      <c r="K88" s="13" t="n">
        <v>0</v>
      </c>
      <c r="L88" s="13" t="n">
        <v>0</v>
      </c>
    </row>
    <row r="89" ht="20" customHeight="1">
      <c r="A89" s="14" t="inlineStr">
        <is>
          <t>General</t>
        </is>
      </c>
      <c r="B89" s="14" t="inlineStr">
        <is>
          <t>500 conn (8 threads)</t>
        </is>
      </c>
      <c r="C89" s="20" t="inlineStr">
        <is>
          <t>4table</t>
        </is>
      </c>
      <c r="D89" s="16" t="n">
        <v>2910.63</v>
      </c>
      <c r="E89" s="16" t="n">
        <v>3509.02</v>
      </c>
      <c r="F89" s="17">
        <f>IF(D89&gt;0, (E89-D89)/D89, 0)</f>
        <v/>
      </c>
      <c r="G89" s="16" t="n">
        <v>171.42</v>
      </c>
      <c r="H89" s="16" t="n">
        <v>144.71</v>
      </c>
      <c r="I89" s="16" t="n">
        <v>275.11</v>
      </c>
      <c r="J89" s="16" t="n">
        <v>267.66</v>
      </c>
      <c r="K89" s="18" t="n">
        <v>0</v>
      </c>
      <c r="L89" s="18" t="n">
        <v>0</v>
      </c>
    </row>
    <row r="90" ht="20" customHeight="1">
      <c r="A90" s="9" t="inlineStr">
        <is>
          <t>High</t>
        </is>
      </c>
      <c r="B90" s="9" t="inlineStr">
        <is>
          <t>2,000 conn (8 threads)</t>
        </is>
      </c>
      <c r="C90" s="19" t="inlineStr">
        <is>
          <t>1table</t>
        </is>
      </c>
      <c r="D90" s="11" t="n">
        <v>7053.23</v>
      </c>
      <c r="E90" s="11" t="n">
        <v>9202.110000000001</v>
      </c>
      <c r="F90" s="17">
        <f>IF(D90&gt;0, (E90-D90)/D90, 0)</f>
        <v/>
      </c>
      <c r="G90" s="11" t="n">
        <v>309.52</v>
      </c>
      <c r="H90" s="11" t="n">
        <v>245.9</v>
      </c>
      <c r="I90" s="11" t="n">
        <v>808.7</v>
      </c>
      <c r="J90" s="11" t="n">
        <v>658.72</v>
      </c>
      <c r="K90" s="23" t="n">
        <v>53763</v>
      </c>
      <c r="L90" s="23" t="n">
        <v>16108</v>
      </c>
    </row>
    <row r="91" ht="20" customHeight="1">
      <c r="A91" s="14" t="inlineStr">
        <is>
          <t>High</t>
        </is>
      </c>
      <c r="B91" s="14" t="inlineStr">
        <is>
          <t>2,000 conn (8 threads)</t>
        </is>
      </c>
      <c r="C91" s="20" t="inlineStr">
        <is>
          <t>2table</t>
        </is>
      </c>
      <c r="D91" s="16" t="n">
        <v>4490.31</v>
      </c>
      <c r="E91" s="16" t="n">
        <v>5707.67</v>
      </c>
      <c r="F91" s="17">
        <f>IF(D91&gt;0, (E91-D91)/D91, 0)</f>
        <v/>
      </c>
      <c r="G91" s="16" t="n">
        <v>441.61</v>
      </c>
      <c r="H91" s="16" t="n">
        <v>348.83</v>
      </c>
      <c r="I91" s="16" t="n">
        <v>545.87</v>
      </c>
      <c r="J91" s="16" t="n">
        <v>442.06</v>
      </c>
      <c r="K91" s="23" t="n">
        <v>14975</v>
      </c>
      <c r="L91" s="23" t="n">
        <v>139</v>
      </c>
    </row>
    <row r="92" ht="20" customHeight="1">
      <c r="A92" s="9" t="inlineStr">
        <is>
          <t>High</t>
        </is>
      </c>
      <c r="B92" s="9" t="inlineStr">
        <is>
          <t>2,000 conn (8 threads)</t>
        </is>
      </c>
      <c r="C92" s="19" t="inlineStr">
        <is>
          <t>3table</t>
        </is>
      </c>
      <c r="D92" s="11" t="n">
        <v>3774.47</v>
      </c>
      <c r="E92" s="11" t="n">
        <v>4737.78</v>
      </c>
      <c r="F92" s="17">
        <f>IF(D92&gt;0, (E92-D92)/D92, 0)</f>
        <v/>
      </c>
      <c r="G92" s="11" t="n">
        <v>523.96</v>
      </c>
      <c r="H92" s="11" t="n">
        <v>420.02</v>
      </c>
      <c r="I92" s="11" t="n">
        <v>633.91</v>
      </c>
      <c r="J92" s="11" t="n">
        <v>522.04</v>
      </c>
      <c r="K92" s="23" t="n">
        <v>17374</v>
      </c>
      <c r="L92" s="23" t="n">
        <v>222</v>
      </c>
    </row>
    <row r="93" ht="20" customHeight="1">
      <c r="A93" s="14" t="inlineStr">
        <is>
          <t>High</t>
        </is>
      </c>
      <c r="B93" s="14" t="inlineStr">
        <is>
          <t>2,000 conn (8 threads)</t>
        </is>
      </c>
      <c r="C93" s="20" t="inlineStr">
        <is>
          <t>4table</t>
        </is>
      </c>
      <c r="D93" s="16" t="n">
        <v>2774.78</v>
      </c>
      <c r="E93" s="16" t="n">
        <v>3373.84</v>
      </c>
      <c r="F93" s="17">
        <f>IF(D93&gt;0, (E93-D93)/D93, 0)</f>
        <v/>
      </c>
      <c r="G93" s="16" t="n">
        <v>712.86</v>
      </c>
      <c r="H93" s="16" t="n">
        <v>588.73</v>
      </c>
      <c r="I93" s="16" t="n">
        <v>853.89</v>
      </c>
      <c r="J93" s="16" t="n">
        <v>733.77</v>
      </c>
      <c r="K93" s="23" t="n">
        <v>15849</v>
      </c>
      <c r="L93" s="23" t="n">
        <v>161</v>
      </c>
    </row>
    <row r="94" ht="20" customHeight="1">
      <c r="A94" s="9" t="inlineStr">
        <is>
          <t>Stress</t>
        </is>
      </c>
      <c r="B94" s="9" t="inlineStr">
        <is>
          <t>10,000 conn (16 threads)</t>
        </is>
      </c>
      <c r="C94" s="19" t="inlineStr">
        <is>
          <t>1table</t>
        </is>
      </c>
      <c r="D94" s="11" t="n">
        <v>6746.36</v>
      </c>
      <c r="E94" s="11" t="n">
        <v>8814.200000000001</v>
      </c>
      <c r="F94" s="17">
        <f>IF(D94&gt;0, (E94-D94)/D94, 0)</f>
        <v/>
      </c>
      <c r="G94" s="11" t="n">
        <v>1422.01</v>
      </c>
      <c r="H94" s="11" t="n">
        <v>1113.09</v>
      </c>
      <c r="I94" s="11" t="n">
        <v>1815.18</v>
      </c>
      <c r="J94" s="11" t="n">
        <v>1438.92</v>
      </c>
      <c r="K94" s="23" t="n">
        <v>1922657</v>
      </c>
      <c r="L94" s="23" t="n">
        <v>647782</v>
      </c>
    </row>
    <row r="95" ht="20" customHeight="1">
      <c r="A95" s="14" t="inlineStr">
        <is>
          <t>Stress</t>
        </is>
      </c>
      <c r="B95" s="14" t="inlineStr">
        <is>
          <t>10,000 conn (16 threads)</t>
        </is>
      </c>
      <c r="C95" s="20" t="inlineStr">
        <is>
          <t>2table</t>
        </is>
      </c>
      <c r="D95" s="16" t="n">
        <v>4357.52</v>
      </c>
      <c r="E95" s="16" t="n">
        <v>5688.49</v>
      </c>
      <c r="F95" s="17">
        <f>IF(D95&gt;0, (E95-D95)/D95, 0)</f>
        <v/>
      </c>
      <c r="G95" s="16" t="n">
        <v>1269.13</v>
      </c>
      <c r="H95" s="16" t="n">
        <v>1700.84</v>
      </c>
      <c r="I95" s="16" t="n">
        <v>1980.26</v>
      </c>
      <c r="J95" s="16" t="n">
        <v>1933.6</v>
      </c>
      <c r="K95" s="23" t="n">
        <v>24203173</v>
      </c>
      <c r="L95" s="23" t="n">
        <v>1579467</v>
      </c>
    </row>
    <row r="96" ht="20" customHeight="1">
      <c r="A96" s="9" t="inlineStr">
        <is>
          <t>Stress</t>
        </is>
      </c>
      <c r="B96" s="9" t="inlineStr">
        <is>
          <t>10,000 conn (16 threads)</t>
        </is>
      </c>
      <c r="C96" s="19" t="inlineStr">
        <is>
          <t>3table</t>
        </is>
      </c>
      <c r="D96" s="11" t="n">
        <v>3671.77</v>
      </c>
      <c r="E96" s="11" t="n">
        <v>4698.1</v>
      </c>
      <c r="F96" s="17">
        <f>IF(D96&gt;0, (E96-D96)/D96, 0)</f>
        <v/>
      </c>
      <c r="G96" s="11" t="n">
        <v>1096.34</v>
      </c>
      <c r="H96" s="11" t="n">
        <v>1752.84</v>
      </c>
      <c r="I96" s="11" t="n">
        <v>1907.62</v>
      </c>
      <c r="J96" s="11" t="n">
        <v>1994.1</v>
      </c>
      <c r="K96" s="23" t="n">
        <v>21001257</v>
      </c>
      <c r="L96" s="23" t="n">
        <v>21745607</v>
      </c>
    </row>
    <row r="97" ht="20" customHeight="1">
      <c r="A97" s="14" t="inlineStr">
        <is>
          <t>Stress</t>
        </is>
      </c>
      <c r="B97" s="14" t="inlineStr">
        <is>
          <t>10,000 conn (16 threads)</t>
        </is>
      </c>
      <c r="C97" s="20" t="inlineStr">
        <is>
          <t>4table</t>
        </is>
      </c>
      <c r="D97" s="16" t="n">
        <v>2699.97</v>
      </c>
      <c r="E97" s="16" t="n">
        <v>3359.24</v>
      </c>
      <c r="F97" s="17">
        <f>IF(D97&gt;0, (E97-D97)/D97, 0)</f>
        <v/>
      </c>
      <c r="G97" s="16" t="n">
        <v>1211.06</v>
      </c>
      <c r="H97" s="16" t="n">
        <v>1268.17</v>
      </c>
      <c r="I97" s="16" t="n">
        <v>1909.21</v>
      </c>
      <c r="J97" s="16" t="n">
        <v>1925.28</v>
      </c>
      <c r="K97" s="23" t="n">
        <v>15815786</v>
      </c>
      <c r="L97" s="23" t="n">
        <v>19774430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1" workbookViewId="0">
      <selection activeCell="A1" sqref="A1"/>
    </sheetView>
  </sheetViews>
  <sheetFormatPr baseColWidth="8" defaultRowHeight="15"/>
  <cols>
    <col width="110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PHP (SWOOLE) - DETAILED BENCHMARK SPECIFICATION</t>
        </is>
      </c>
    </row>
    <row r="2" ht="18" customHeight="1">
      <c r="A2" s="2" t="inlineStr">
        <is>
          <t>Runtime: PHP 8.3 (Swoole Coroutine PDO)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9" t="inlineStr">
        <is>
          <t>1table</t>
        </is>
      </c>
      <c r="D6" s="11" t="n">
        <v>12918.52</v>
      </c>
      <c r="E6" s="11" t="n">
        <v>15043.28</v>
      </c>
      <c r="F6" s="17">
        <f>IF(D6&gt;0, (E6-D6)/D6, 0)</f>
        <v/>
      </c>
      <c r="G6" s="11" t="n">
        <v>1.57</v>
      </c>
      <c r="H6" s="11" t="n">
        <v>1.48</v>
      </c>
      <c r="I6" s="11" t="n">
        <v>2.99</v>
      </c>
      <c r="J6" s="11" t="n">
        <v>3.45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0" t="inlineStr">
        <is>
          <t>2join</t>
        </is>
      </c>
      <c r="D7" s="16" t="n">
        <v>7184.34</v>
      </c>
      <c r="E7" s="16" t="n">
        <v>7627.68</v>
      </c>
      <c r="F7" s="17">
        <f>IF(D7&gt;0, (E7-D7)/D7, 0)</f>
        <v/>
      </c>
      <c r="G7" s="16" t="n">
        <v>2.89</v>
      </c>
      <c r="H7" s="16" t="n">
        <v>2.84</v>
      </c>
      <c r="I7" s="16" t="n">
        <v>5.96</v>
      </c>
      <c r="J7" s="16" t="n">
        <v>6.57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9" t="inlineStr">
        <is>
          <t>3join</t>
        </is>
      </c>
      <c r="D8" s="11" t="n">
        <v>322.01</v>
      </c>
      <c r="E8" s="11" t="n">
        <v>319.52</v>
      </c>
      <c r="F8" s="21">
        <f>IF(D8&gt;0, (E8-D8)/D8, 0)</f>
        <v/>
      </c>
      <c r="G8" s="11" t="n">
        <v>66.28</v>
      </c>
      <c r="H8" s="11" t="n">
        <v>67.83</v>
      </c>
      <c r="I8" s="11" t="n">
        <v>144.98</v>
      </c>
      <c r="J8" s="11" t="n">
        <v>157.12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0" t="inlineStr">
        <is>
          <t>4join</t>
        </is>
      </c>
      <c r="D9" s="16" t="n">
        <v>61.68</v>
      </c>
      <c r="E9" s="16" t="n">
        <v>48.9</v>
      </c>
      <c r="F9" s="12">
        <f>IF(D9&gt;0, (E9-D9)/D9, 0)</f>
        <v/>
      </c>
      <c r="G9" s="16" t="n">
        <v>347.26</v>
      </c>
      <c r="H9" s="16" t="n">
        <v>442.14</v>
      </c>
      <c r="I9" s="16" t="n">
        <v>781.14</v>
      </c>
      <c r="J9" s="16" t="n">
        <v>1062.62</v>
      </c>
      <c r="K9" s="23" t="n">
        <v>5</v>
      </c>
      <c r="L9" s="23" t="n">
        <v>152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19" t="inlineStr">
        <is>
          <t>1table</t>
        </is>
      </c>
      <c r="D10" s="11" t="n">
        <v>17126.59</v>
      </c>
      <c r="E10" s="11" t="n">
        <v>26791.87</v>
      </c>
      <c r="F10" s="17">
        <f>IF(D10&gt;0, (E10-D10)/D10, 0)</f>
        <v/>
      </c>
      <c r="G10" s="11" t="n">
        <v>6.58</v>
      </c>
      <c r="H10" s="11" t="n">
        <v>4.05</v>
      </c>
      <c r="I10" s="11" t="n">
        <v>17.16</v>
      </c>
      <c r="J10" s="11" t="n">
        <v>9.94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0" t="inlineStr">
        <is>
          <t>2join</t>
        </is>
      </c>
      <c r="D11" s="16" t="n">
        <v>8846.27</v>
      </c>
      <c r="E11" s="16" t="n">
        <v>9859.290000000001</v>
      </c>
      <c r="F11" s="17">
        <f>IF(D11&gt;0, (E11-D11)/D11, 0)</f>
        <v/>
      </c>
      <c r="G11" s="16" t="n">
        <v>13.92</v>
      </c>
      <c r="H11" s="16" t="n">
        <v>11.36</v>
      </c>
      <c r="I11" s="16" t="n">
        <v>41.89</v>
      </c>
      <c r="J11" s="16" t="n">
        <v>29.19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19" t="inlineStr">
        <is>
          <t>3join</t>
        </is>
      </c>
      <c r="D12" s="11" t="n">
        <v>300.97</v>
      </c>
      <c r="E12" s="11" t="n">
        <v>315.47</v>
      </c>
      <c r="F12" s="17">
        <f>IF(D12&gt;0, (E12-D12)/D12, 0)</f>
        <v/>
      </c>
      <c r="G12" s="11" t="n">
        <v>364.79</v>
      </c>
      <c r="H12" s="11" t="n">
        <v>346.73</v>
      </c>
      <c r="I12" s="11" t="n">
        <v>1026.2</v>
      </c>
      <c r="J12" s="11" t="n">
        <v>883.22</v>
      </c>
      <c r="K12" s="23" t="n">
        <v>2198</v>
      </c>
      <c r="L12" s="23" t="n">
        <v>336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0" t="inlineStr">
        <is>
          <t>4join</t>
        </is>
      </c>
      <c r="D13" s="16" t="n">
        <v>78.52</v>
      </c>
      <c r="E13" s="16" t="n">
        <v>79.23999999999999</v>
      </c>
      <c r="F13" s="22">
        <f>IF(D13&gt;0, (E13-D13)/D13, 0)</f>
        <v/>
      </c>
      <c r="G13" s="16" t="n">
        <v>765.08</v>
      </c>
      <c r="H13" s="16" t="n">
        <v>837.89</v>
      </c>
      <c r="I13" s="16" t="n">
        <v>1650.19</v>
      </c>
      <c r="J13" s="16" t="n">
        <v>1711.04</v>
      </c>
      <c r="K13" s="23" t="n">
        <v>15406</v>
      </c>
      <c r="L13" s="23" t="n">
        <v>16619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19" t="inlineStr">
        <is>
          <t>1table</t>
        </is>
      </c>
      <c r="D14" s="11" t="n">
        <v>17376.97</v>
      </c>
      <c r="E14" s="11" t="n">
        <v>26659.76</v>
      </c>
      <c r="F14" s="17">
        <f>IF(D14&gt;0, (E14-D14)/D14, 0)</f>
        <v/>
      </c>
      <c r="G14" s="11" t="n">
        <v>30.79</v>
      </c>
      <c r="H14" s="11" t="n">
        <v>18.99</v>
      </c>
      <c r="I14" s="11" t="n">
        <v>73.58</v>
      </c>
      <c r="J14" s="11" t="n">
        <v>37.13</v>
      </c>
      <c r="K14" s="13" t="n">
        <v>0</v>
      </c>
      <c r="L14" s="13" t="n">
        <v>0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0" t="inlineStr">
        <is>
          <t>2join</t>
        </is>
      </c>
      <c r="D15" s="16" t="n">
        <v>8858.58</v>
      </c>
      <c r="E15" s="16" t="n">
        <v>9690.85</v>
      </c>
      <c r="F15" s="17">
        <f>IF(D15&gt;0, (E15-D15)/D15, 0)</f>
        <v/>
      </c>
      <c r="G15" s="16" t="n">
        <v>62.77</v>
      </c>
      <c r="H15" s="16" t="n">
        <v>52.39</v>
      </c>
      <c r="I15" s="16" t="n">
        <v>163.59</v>
      </c>
      <c r="J15" s="16" t="n">
        <v>103.39</v>
      </c>
      <c r="K15" s="18" t="n">
        <v>0</v>
      </c>
      <c r="L15" s="18" t="n">
        <v>0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19" t="inlineStr">
        <is>
          <t>3join</t>
        </is>
      </c>
      <c r="D16" s="11" t="n">
        <v>304.66</v>
      </c>
      <c r="E16" s="11" t="n">
        <v>308.7</v>
      </c>
      <c r="F16" s="17">
        <f>IF(D16&gt;0, (E16-D16)/D16, 0)</f>
        <v/>
      </c>
      <c r="G16" s="11" t="n">
        <v>676.14</v>
      </c>
      <c r="H16" s="11" t="n">
        <v>933.29</v>
      </c>
      <c r="I16" s="11" t="n">
        <v>1573.47</v>
      </c>
      <c r="J16" s="11" t="n">
        <v>1806.13</v>
      </c>
      <c r="K16" s="23" t="n">
        <v>82199</v>
      </c>
      <c r="L16" s="23" t="n">
        <v>94831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0" t="inlineStr">
        <is>
          <t>4join</t>
        </is>
      </c>
      <c r="D17" s="16" t="n">
        <v>70.05</v>
      </c>
      <c r="E17" s="16" t="n">
        <v>53.26</v>
      </c>
      <c r="F17" s="12">
        <f>IF(D17&gt;0, (E17-D17)/D17, 0)</f>
        <v/>
      </c>
      <c r="G17" s="16" t="n">
        <v>1127.75</v>
      </c>
      <c r="H17" s="16" t="n">
        <v>1276.61</v>
      </c>
      <c r="I17" s="16" t="n">
        <v>1872.78</v>
      </c>
      <c r="J17" s="16" t="n">
        <v>1919.21</v>
      </c>
      <c r="K17" s="23" t="n">
        <v>55546</v>
      </c>
      <c r="L17" s="23" t="n">
        <v>54602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19" t="inlineStr">
        <is>
          <t>1table</t>
        </is>
      </c>
      <c r="D18" s="11" t="n">
        <v>16832.13</v>
      </c>
      <c r="E18" s="11" t="n">
        <v>26318.94</v>
      </c>
      <c r="F18" s="17">
        <f>IF(D18&gt;0, (E18-D18)/D18, 0)</f>
        <v/>
      </c>
      <c r="G18" s="11" t="n">
        <v>121.54</v>
      </c>
      <c r="H18" s="11" t="n">
        <v>76.15000000000001</v>
      </c>
      <c r="I18" s="11" t="n">
        <v>246.58</v>
      </c>
      <c r="J18" s="11" t="n">
        <v>124.19</v>
      </c>
      <c r="K18" s="13" t="n">
        <v>0</v>
      </c>
      <c r="L18" s="13" t="n">
        <v>0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0" t="inlineStr">
        <is>
          <t>2join</t>
        </is>
      </c>
      <c r="D19" s="16" t="n">
        <v>8774.07</v>
      </c>
      <c r="E19" s="16" t="n">
        <v>9780.549999999999</v>
      </c>
      <c r="F19" s="17">
        <f>IF(D19&gt;0, (E19-D19)/D19, 0)</f>
        <v/>
      </c>
      <c r="G19" s="16" t="n">
        <v>236.93</v>
      </c>
      <c r="H19" s="16" t="n">
        <v>204.72</v>
      </c>
      <c r="I19" s="16" t="n">
        <v>517.22</v>
      </c>
      <c r="J19" s="16" t="n">
        <v>335.63</v>
      </c>
      <c r="K19" s="23" t="n">
        <v>20</v>
      </c>
      <c r="L19" s="18" t="n">
        <v>0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19" t="inlineStr">
        <is>
          <t>3join</t>
        </is>
      </c>
      <c r="D20" s="11" t="n">
        <v>297.78</v>
      </c>
      <c r="E20" s="11" t="n">
        <v>308.44</v>
      </c>
      <c r="F20" s="17">
        <f>IF(D20&gt;0, (E20-D20)/D20, 0)</f>
        <v/>
      </c>
      <c r="G20" s="11" t="n">
        <v>1332.81</v>
      </c>
      <c r="H20" s="11" t="n">
        <v>1306.74</v>
      </c>
      <c r="I20" s="11" t="n">
        <v>1883.13</v>
      </c>
      <c r="J20" s="11" t="n">
        <v>1842.54</v>
      </c>
      <c r="K20" s="23" t="n">
        <v>642301</v>
      </c>
      <c r="L20" s="23" t="n">
        <v>638021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0" t="inlineStr">
        <is>
          <t>4join</t>
        </is>
      </c>
      <c r="D21" s="16" t="n">
        <v>63.52</v>
      </c>
      <c r="E21" s="16" t="n">
        <v>55.38</v>
      </c>
      <c r="F21" s="12">
        <f>IF(D21&gt;0, (E21-D21)/D21, 0)</f>
        <v/>
      </c>
      <c r="G21" s="16" t="n">
        <v>1164.55</v>
      </c>
      <c r="H21" s="16" t="n">
        <v>1155.76</v>
      </c>
      <c r="I21" s="16" t="n">
        <v>1913.17</v>
      </c>
      <c r="J21" s="16" t="n">
        <v>1893.88</v>
      </c>
      <c r="K21" s="23" t="n">
        <v>150932</v>
      </c>
      <c r="L21" s="23" t="n">
        <v>131620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19" t="inlineStr">
        <is>
          <t>1table</t>
        </is>
      </c>
      <c r="D22" s="11" t="n">
        <v>16355.25</v>
      </c>
      <c r="E22" s="11" t="n">
        <v>25454.93</v>
      </c>
      <c r="F22" s="17">
        <f>IF(D22&gt;0, (E22-D22)/D22, 0)</f>
        <v/>
      </c>
      <c r="G22" s="11" t="n">
        <v>610.95</v>
      </c>
      <c r="H22" s="11" t="n">
        <v>392.54</v>
      </c>
      <c r="I22" s="11" t="n">
        <v>1019.65</v>
      </c>
      <c r="J22" s="11" t="n">
        <v>590.4400000000001</v>
      </c>
      <c r="K22" s="23" t="n">
        <v>68734</v>
      </c>
      <c r="L22" s="23" t="n">
        <v>363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0" t="inlineStr">
        <is>
          <t>2join</t>
        </is>
      </c>
      <c r="D23" s="16" t="n">
        <v>8729.110000000001</v>
      </c>
      <c r="E23" s="16" t="n">
        <v>9709.610000000001</v>
      </c>
      <c r="F23" s="17">
        <f>IF(D23&gt;0, (E23-D23)/D23, 0)</f>
        <v/>
      </c>
      <c r="G23" s="16" t="n">
        <v>1085.36</v>
      </c>
      <c r="H23" s="16" t="n">
        <v>1017.28</v>
      </c>
      <c r="I23" s="16" t="n">
        <v>1782.39</v>
      </c>
      <c r="J23" s="16" t="n">
        <v>1614.4</v>
      </c>
      <c r="K23" s="23" t="n">
        <v>2359706</v>
      </c>
      <c r="L23" s="23" t="n">
        <v>491245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19" t="inlineStr">
        <is>
          <t>3join</t>
        </is>
      </c>
      <c r="D24" s="11" t="n">
        <v>282.1</v>
      </c>
      <c r="E24" s="11" t="n">
        <v>286.46</v>
      </c>
      <c r="F24" s="17">
        <f>IF(D24&gt;0, (E24-D24)/D24, 0)</f>
        <v/>
      </c>
      <c r="G24" s="11" t="n">
        <v>708.16</v>
      </c>
      <c r="H24" s="11" t="n">
        <v>978.14</v>
      </c>
      <c r="I24" s="11" t="n">
        <v>1651.03</v>
      </c>
      <c r="J24" s="11" t="n">
        <v>1876.54</v>
      </c>
      <c r="K24" s="23" t="n">
        <v>1723446</v>
      </c>
      <c r="L24" s="23" t="n">
        <v>1774876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0" t="inlineStr">
        <is>
          <t>4join</t>
        </is>
      </c>
      <c r="D25" s="16" t="n">
        <v>51.17</v>
      </c>
      <c r="E25" s="16" t="n">
        <v>52.53</v>
      </c>
      <c r="F25" s="17">
        <f>IF(D25&gt;0, (E25-D25)/D25, 0)</f>
        <v/>
      </c>
      <c r="G25" s="16" t="n">
        <v>1178.97</v>
      </c>
      <c r="H25" s="16" t="n">
        <v>966.42</v>
      </c>
      <c r="I25" s="16" t="n">
        <v>1789.74</v>
      </c>
      <c r="J25" s="16" t="n">
        <v>1518.09</v>
      </c>
      <c r="K25" s="23" t="n">
        <v>515683</v>
      </c>
      <c r="L25" s="23" t="n">
        <v>515489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9" t="inlineStr">
        <is>
          <t>1table</t>
        </is>
      </c>
      <c r="D42" s="11" t="n">
        <v>12932.29</v>
      </c>
      <c r="E42" s="11" t="n">
        <v>15418.73</v>
      </c>
      <c r="F42" s="17">
        <f>IF(D42&gt;0, (E42-D42)/D42, 0)</f>
        <v/>
      </c>
      <c r="G42" s="11" t="n">
        <v>1.56</v>
      </c>
      <c r="H42" s="11" t="n">
        <v>1.4</v>
      </c>
      <c r="I42" s="11" t="n">
        <v>2.91</v>
      </c>
      <c r="J42" s="11" t="n">
        <v>3.19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20" t="inlineStr">
        <is>
          <t>2join</t>
        </is>
      </c>
      <c r="D43" s="16" t="n">
        <v>7413.51</v>
      </c>
      <c r="E43" s="16" t="n">
        <v>7471.58</v>
      </c>
      <c r="F43" s="22">
        <f>IF(D43&gt;0, (E43-D43)/D43, 0)</f>
        <v/>
      </c>
      <c r="G43" s="16" t="n">
        <v>2.74</v>
      </c>
      <c r="H43" s="16" t="n">
        <v>2.93</v>
      </c>
      <c r="I43" s="16" t="n">
        <v>5.23</v>
      </c>
      <c r="J43" s="16" t="n">
        <v>6.81</v>
      </c>
      <c r="K43" s="18" t="n">
        <v>0</v>
      </c>
      <c r="L43" s="18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9" t="inlineStr">
        <is>
          <t>3join</t>
        </is>
      </c>
      <c r="D44" s="11" t="n">
        <v>2322.04</v>
      </c>
      <c r="E44" s="11" t="n">
        <v>2260.61</v>
      </c>
      <c r="F44" s="12">
        <f>IF(D44&gt;0, (E44-D44)/D44, 0)</f>
        <v/>
      </c>
      <c r="G44" s="11" t="n">
        <v>9.119999999999999</v>
      </c>
      <c r="H44" s="11" t="n">
        <v>9.789999999999999</v>
      </c>
      <c r="I44" s="11" t="n">
        <v>20.53</v>
      </c>
      <c r="J44" s="11" t="n">
        <v>23.36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20" t="inlineStr">
        <is>
          <t>4join</t>
        </is>
      </c>
      <c r="D45" s="16" t="n">
        <v>2099.48</v>
      </c>
      <c r="E45" s="16" t="n">
        <v>2020</v>
      </c>
      <c r="F45" s="12">
        <f>IF(D45&gt;0, (E45-D45)/D45, 0)</f>
        <v/>
      </c>
      <c r="G45" s="16" t="n">
        <v>9.9</v>
      </c>
      <c r="H45" s="16" t="n">
        <v>11.2</v>
      </c>
      <c r="I45" s="16" t="n">
        <v>20.26</v>
      </c>
      <c r="J45" s="16" t="n">
        <v>27.41</v>
      </c>
      <c r="K45" s="18" t="n">
        <v>0</v>
      </c>
      <c r="L45" s="18" t="n">
        <v>0</v>
      </c>
    </row>
    <row r="46" ht="20" customHeight="1">
      <c r="A46" s="9" t="inlineStr">
        <is>
          <t>Small</t>
        </is>
      </c>
      <c r="B46" s="9" t="inlineStr">
        <is>
          <t>100 conn (4 threads)</t>
        </is>
      </c>
      <c r="C46" s="19" t="inlineStr">
        <is>
          <t>1table</t>
        </is>
      </c>
      <c r="D46" s="11" t="n">
        <v>17157.4</v>
      </c>
      <c r="E46" s="11" t="n">
        <v>26895.24</v>
      </c>
      <c r="F46" s="17">
        <f>IF(D46&gt;0, (E46-D46)/D46, 0)</f>
        <v/>
      </c>
      <c r="G46" s="11" t="n">
        <v>6.37</v>
      </c>
      <c r="H46" s="11" t="n">
        <v>4.02</v>
      </c>
      <c r="I46" s="11" t="n">
        <v>15.61</v>
      </c>
      <c r="J46" s="11" t="n">
        <v>9.83</v>
      </c>
      <c r="K46" s="13" t="n">
        <v>0</v>
      </c>
      <c r="L46" s="13" t="n">
        <v>0</v>
      </c>
    </row>
    <row r="47" ht="20" customHeight="1">
      <c r="A47" s="14" t="inlineStr">
        <is>
          <t>Small</t>
        </is>
      </c>
      <c r="B47" s="14" t="inlineStr">
        <is>
          <t>100 conn (4 threads)</t>
        </is>
      </c>
      <c r="C47" s="20" t="inlineStr">
        <is>
          <t>2join</t>
        </is>
      </c>
      <c r="D47" s="16" t="n">
        <v>8918.440000000001</v>
      </c>
      <c r="E47" s="16" t="n">
        <v>8890.57</v>
      </c>
      <c r="F47" s="22">
        <f>IF(D47&gt;0, (E47-D47)/D47, 0)</f>
        <v/>
      </c>
      <c r="G47" s="16" t="n">
        <v>13.35</v>
      </c>
      <c r="H47" s="16" t="n">
        <v>12.36</v>
      </c>
      <c r="I47" s="16" t="n">
        <v>37.68</v>
      </c>
      <c r="J47" s="16" t="n">
        <v>30.54</v>
      </c>
      <c r="K47" s="18" t="n">
        <v>0</v>
      </c>
      <c r="L47" s="18" t="n">
        <v>0</v>
      </c>
    </row>
    <row r="48" ht="20" customHeight="1">
      <c r="A48" s="9" t="inlineStr">
        <is>
          <t>Small</t>
        </is>
      </c>
      <c r="B48" s="9" t="inlineStr">
        <is>
          <t>100 conn (4 threads)</t>
        </is>
      </c>
      <c r="C48" s="19" t="inlineStr">
        <is>
          <t>3join</t>
        </is>
      </c>
      <c r="D48" s="11" t="n">
        <v>2143.29</v>
      </c>
      <c r="E48" s="11" t="n">
        <v>2046.99</v>
      </c>
      <c r="F48" s="12">
        <f>IF(D48&gt;0, (E48-D48)/D48, 0)</f>
        <v/>
      </c>
      <c r="G48" s="11" t="n">
        <v>55.73</v>
      </c>
      <c r="H48" s="11" t="n">
        <v>54.46</v>
      </c>
      <c r="I48" s="11" t="n">
        <v>159.63</v>
      </c>
      <c r="J48" s="11" t="n">
        <v>138.95</v>
      </c>
      <c r="K48" s="13" t="n">
        <v>0</v>
      </c>
      <c r="L48" s="13" t="n">
        <v>0</v>
      </c>
    </row>
    <row r="49" ht="20" customHeight="1">
      <c r="A49" s="14" t="inlineStr">
        <is>
          <t>Small</t>
        </is>
      </c>
      <c r="B49" s="14" t="inlineStr">
        <is>
          <t>100 conn (4 threads)</t>
        </is>
      </c>
      <c r="C49" s="20" t="inlineStr">
        <is>
          <t>4join</t>
        </is>
      </c>
      <c r="D49" s="16" t="n">
        <v>1909.7</v>
      </c>
      <c r="E49" s="16" t="n">
        <v>1876.1</v>
      </c>
      <c r="F49" s="12">
        <f>IF(D49&gt;0, (E49-D49)/D49, 0)</f>
        <v/>
      </c>
      <c r="G49" s="16" t="n">
        <v>64.31</v>
      </c>
      <c r="H49" s="16" t="n">
        <v>59.24</v>
      </c>
      <c r="I49" s="16" t="n">
        <v>190.77</v>
      </c>
      <c r="J49" s="16" t="n">
        <v>150.13</v>
      </c>
      <c r="K49" s="18" t="n">
        <v>0</v>
      </c>
      <c r="L49" s="18" t="n">
        <v>0</v>
      </c>
    </row>
    <row r="50" ht="20" customHeight="1">
      <c r="A50" s="9" t="inlineStr">
        <is>
          <t>General</t>
        </is>
      </c>
      <c r="B50" s="9" t="inlineStr">
        <is>
          <t>500 conn (8 threads)</t>
        </is>
      </c>
      <c r="C50" s="19" t="inlineStr">
        <is>
          <t>1table</t>
        </is>
      </c>
      <c r="D50" s="11" t="n">
        <v>17203.13</v>
      </c>
      <c r="E50" s="11" t="n">
        <v>27030.27</v>
      </c>
      <c r="F50" s="17">
        <f>IF(D50&gt;0, (E50-D50)/D50, 0)</f>
        <v/>
      </c>
      <c r="G50" s="11" t="n">
        <v>30.95</v>
      </c>
      <c r="H50" s="11" t="n">
        <v>18.78</v>
      </c>
      <c r="I50" s="11" t="n">
        <v>73.12</v>
      </c>
      <c r="J50" s="11" t="n">
        <v>37.26</v>
      </c>
      <c r="K50" s="13" t="n">
        <v>0</v>
      </c>
      <c r="L50" s="13" t="n">
        <v>0</v>
      </c>
    </row>
    <row r="51" ht="20" customHeight="1">
      <c r="A51" s="14" t="inlineStr">
        <is>
          <t>General</t>
        </is>
      </c>
      <c r="B51" s="14" t="inlineStr">
        <is>
          <t>500 conn (8 threads)</t>
        </is>
      </c>
      <c r="C51" s="20" t="inlineStr">
        <is>
          <t>2join</t>
        </is>
      </c>
      <c r="D51" s="16" t="n">
        <v>8776.48</v>
      </c>
      <c r="E51" s="16" t="n">
        <v>8845.09</v>
      </c>
      <c r="F51" s="22">
        <f>IF(D51&gt;0, (E51-D51)/D51, 0)</f>
        <v/>
      </c>
      <c r="G51" s="16" t="n">
        <v>66.36</v>
      </c>
      <c r="H51" s="16" t="n">
        <v>57.64</v>
      </c>
      <c r="I51" s="16" t="n">
        <v>186.48</v>
      </c>
      <c r="J51" s="16" t="n">
        <v>117.6</v>
      </c>
      <c r="K51" s="18" t="n">
        <v>0</v>
      </c>
      <c r="L51" s="18" t="n">
        <v>0</v>
      </c>
    </row>
    <row r="52" ht="20" customHeight="1">
      <c r="A52" s="9" t="inlineStr">
        <is>
          <t>General</t>
        </is>
      </c>
      <c r="B52" s="9" t="inlineStr">
        <is>
          <t>500 conn (8 threads)</t>
        </is>
      </c>
      <c r="C52" s="19" t="inlineStr">
        <is>
          <t>3join</t>
        </is>
      </c>
      <c r="D52" s="11" t="n">
        <v>2136.87</v>
      </c>
      <c r="E52" s="11" t="n">
        <v>2074.47</v>
      </c>
      <c r="F52" s="12">
        <f>IF(D52&gt;0, (E52-D52)/D52, 0)</f>
        <v/>
      </c>
      <c r="G52" s="11" t="n">
        <v>283.07</v>
      </c>
      <c r="H52" s="11" t="n">
        <v>245.69</v>
      </c>
      <c r="I52" s="11" t="n">
        <v>868.8</v>
      </c>
      <c r="J52" s="11" t="n">
        <v>500.8</v>
      </c>
      <c r="K52" s="23" t="n">
        <v>4165</v>
      </c>
      <c r="L52" s="23" t="n">
        <v>6</v>
      </c>
    </row>
    <row r="53" ht="20" customHeight="1">
      <c r="A53" s="14" t="inlineStr">
        <is>
          <t>General</t>
        </is>
      </c>
      <c r="B53" s="14" t="inlineStr">
        <is>
          <t>500 conn (8 threads)</t>
        </is>
      </c>
      <c r="C53" s="20" t="inlineStr">
        <is>
          <t>4join</t>
        </is>
      </c>
      <c r="D53" s="16" t="n">
        <v>1875.23</v>
      </c>
      <c r="E53" s="16" t="n">
        <v>1839.67</v>
      </c>
      <c r="F53" s="12">
        <f>IF(D53&gt;0, (E53-D53)/D53, 0)</f>
        <v/>
      </c>
      <c r="G53" s="16" t="n">
        <v>319.15</v>
      </c>
      <c r="H53" s="16" t="n">
        <v>275.11</v>
      </c>
      <c r="I53" s="16" t="n">
        <v>953.25</v>
      </c>
      <c r="J53" s="16" t="n">
        <v>550.95</v>
      </c>
      <c r="K53" s="23" t="n">
        <v>1254</v>
      </c>
      <c r="L53" s="18" t="n">
        <v>0</v>
      </c>
    </row>
    <row r="54" ht="20" customHeight="1">
      <c r="A54" s="9" t="inlineStr">
        <is>
          <t>High</t>
        </is>
      </c>
      <c r="B54" s="9" t="inlineStr">
        <is>
          <t>2,000 conn (8 threads)</t>
        </is>
      </c>
      <c r="C54" s="19" t="inlineStr">
        <is>
          <t>1table</t>
        </is>
      </c>
      <c r="D54" s="11" t="n">
        <v>16749.06</v>
      </c>
      <c r="E54" s="11" t="n">
        <v>26532.29</v>
      </c>
      <c r="F54" s="17">
        <f>IF(D54&gt;0, (E54-D54)/D54, 0)</f>
        <v/>
      </c>
      <c r="G54" s="11" t="n">
        <v>121.49</v>
      </c>
      <c r="H54" s="11" t="n">
        <v>75.48999999999999</v>
      </c>
      <c r="I54" s="11" t="n">
        <v>241.29</v>
      </c>
      <c r="J54" s="11" t="n">
        <v>120.7</v>
      </c>
      <c r="K54" s="13" t="n">
        <v>0</v>
      </c>
      <c r="L54" s="13" t="n">
        <v>0</v>
      </c>
    </row>
    <row r="55" ht="20" customHeight="1">
      <c r="A55" s="14" t="inlineStr">
        <is>
          <t>High</t>
        </is>
      </c>
      <c r="B55" s="14" t="inlineStr">
        <is>
          <t>2,000 conn (8 threads)</t>
        </is>
      </c>
      <c r="C55" s="20" t="inlineStr">
        <is>
          <t>2join</t>
        </is>
      </c>
      <c r="D55" s="16" t="n">
        <v>8679.360000000001</v>
      </c>
      <c r="E55" s="16" t="n">
        <v>8819.940000000001</v>
      </c>
      <c r="F55" s="17">
        <f>IF(D55&gt;0, (E55-D55)/D55, 0)</f>
        <v/>
      </c>
      <c r="G55" s="16" t="n">
        <v>239.58</v>
      </c>
      <c r="H55" s="16" t="n">
        <v>226.92</v>
      </c>
      <c r="I55" s="16" t="n">
        <v>521.12</v>
      </c>
      <c r="J55" s="16" t="n">
        <v>369.16</v>
      </c>
      <c r="K55" s="23" t="n">
        <v>36</v>
      </c>
      <c r="L55" s="18" t="n">
        <v>0</v>
      </c>
    </row>
    <row r="56" ht="20" customHeight="1">
      <c r="A56" s="9" t="inlineStr">
        <is>
          <t>High</t>
        </is>
      </c>
      <c r="B56" s="9" t="inlineStr">
        <is>
          <t>2,000 conn (8 threads)</t>
        </is>
      </c>
      <c r="C56" s="19" t="inlineStr">
        <is>
          <t>3join</t>
        </is>
      </c>
      <c r="D56" s="11" t="n">
        <v>2076.99</v>
      </c>
      <c r="E56" s="11" t="n">
        <v>2022.14</v>
      </c>
      <c r="F56" s="12">
        <f>IF(D56&gt;0, (E56-D56)/D56, 0)</f>
        <v/>
      </c>
      <c r="G56" s="11" t="n">
        <v>894.22</v>
      </c>
      <c r="H56" s="11" t="n">
        <v>969.92</v>
      </c>
      <c r="I56" s="11" t="n">
        <v>1650.22</v>
      </c>
      <c r="J56" s="11" t="n">
        <v>1479.31</v>
      </c>
      <c r="K56" s="23" t="n">
        <v>203701</v>
      </c>
      <c r="L56" s="23" t="n">
        <v>50685</v>
      </c>
    </row>
    <row r="57" ht="20" customHeight="1">
      <c r="A57" s="14" t="inlineStr">
        <is>
          <t>High</t>
        </is>
      </c>
      <c r="B57" s="14" t="inlineStr">
        <is>
          <t>2,000 conn (8 threads)</t>
        </is>
      </c>
      <c r="C57" s="20" t="inlineStr">
        <is>
          <t>4join</t>
        </is>
      </c>
      <c r="D57" s="16" t="n">
        <v>1909.38</v>
      </c>
      <c r="E57" s="16" t="n">
        <v>1855.86</v>
      </c>
      <c r="F57" s="12">
        <f>IF(D57&gt;0, (E57-D57)/D57, 0)</f>
        <v/>
      </c>
      <c r="G57" s="16" t="n">
        <v>945.53</v>
      </c>
      <c r="H57" s="16" t="n">
        <v>1044.76</v>
      </c>
      <c r="I57" s="16" t="n">
        <v>1779.64</v>
      </c>
      <c r="J57" s="16" t="n">
        <v>1622.86</v>
      </c>
      <c r="K57" s="23" t="n">
        <v>288557</v>
      </c>
      <c r="L57" s="23" t="n">
        <v>93314</v>
      </c>
    </row>
    <row r="58" ht="20" customHeight="1">
      <c r="A58" s="9" t="inlineStr">
        <is>
          <t>Stress</t>
        </is>
      </c>
      <c r="B58" s="9" t="inlineStr">
        <is>
          <t>10,000 conn (16 threads)</t>
        </is>
      </c>
      <c r="C58" s="19" t="inlineStr">
        <is>
          <t>1table</t>
        </is>
      </c>
      <c r="D58" s="11" t="n">
        <v>16587.39</v>
      </c>
      <c r="E58" s="11" t="n">
        <v>25672.05</v>
      </c>
      <c r="F58" s="17">
        <f>IF(D58&gt;0, (E58-D58)/D58, 0)</f>
        <v/>
      </c>
      <c r="G58" s="11" t="n">
        <v>602.92</v>
      </c>
      <c r="H58" s="11" t="n">
        <v>389.19</v>
      </c>
      <c r="I58" s="11" t="n">
        <v>1010.59</v>
      </c>
      <c r="J58" s="11" t="n">
        <v>603.74</v>
      </c>
      <c r="K58" s="23" t="n">
        <v>263220</v>
      </c>
      <c r="L58" s="13" t="n">
        <v>0</v>
      </c>
    </row>
    <row r="59" ht="20" customHeight="1">
      <c r="A59" s="14" t="inlineStr">
        <is>
          <t>Stress</t>
        </is>
      </c>
      <c r="B59" s="14" t="inlineStr">
        <is>
          <t>10,000 conn (16 threads)</t>
        </is>
      </c>
      <c r="C59" s="20" t="inlineStr">
        <is>
          <t>2join</t>
        </is>
      </c>
      <c r="D59" s="16" t="n">
        <v>8294.030000000001</v>
      </c>
      <c r="E59" s="16" t="n">
        <v>8836.809999999999</v>
      </c>
      <c r="F59" s="17">
        <f>IF(D59&gt;0, (E59-D59)/D59, 0)</f>
        <v/>
      </c>
      <c r="G59" s="16" t="n">
        <v>1115.18</v>
      </c>
      <c r="H59" s="16" t="n">
        <v>1101.96</v>
      </c>
      <c r="I59" s="16" t="n">
        <v>1814.6</v>
      </c>
      <c r="J59" s="16" t="n">
        <v>1735.65</v>
      </c>
      <c r="K59" s="23" t="n">
        <v>3395743</v>
      </c>
      <c r="L59" s="23" t="n">
        <v>1258730</v>
      </c>
    </row>
    <row r="60" ht="20" customHeight="1">
      <c r="A60" s="9" t="inlineStr">
        <is>
          <t>Stress</t>
        </is>
      </c>
      <c r="B60" s="9" t="inlineStr">
        <is>
          <t>10,000 conn (16 threads)</t>
        </is>
      </c>
      <c r="C60" s="19" t="inlineStr">
        <is>
          <t>3join</t>
        </is>
      </c>
      <c r="D60" s="11" t="n">
        <v>2077.43</v>
      </c>
      <c r="E60" s="11" t="n">
        <v>2080.74</v>
      </c>
      <c r="F60" s="21">
        <f>IF(D60&gt;0, (E60-D60)/D60, 0)</f>
        <v/>
      </c>
      <c r="G60" s="11" t="n">
        <v>1424.49</v>
      </c>
      <c r="H60" s="11" t="n">
        <v>1347.43</v>
      </c>
      <c r="I60" s="11" t="n">
        <v>1969.83</v>
      </c>
      <c r="J60" s="11" t="n">
        <v>1970.95</v>
      </c>
      <c r="K60" s="23" t="n">
        <v>12378886</v>
      </c>
      <c r="L60" s="23" t="n">
        <v>12356393</v>
      </c>
    </row>
    <row r="61" ht="20" customHeight="1">
      <c r="A61" s="14" t="inlineStr">
        <is>
          <t>Stress</t>
        </is>
      </c>
      <c r="B61" s="14" t="inlineStr">
        <is>
          <t>10,000 conn (16 threads)</t>
        </is>
      </c>
      <c r="C61" s="20" t="inlineStr">
        <is>
          <t>4join</t>
        </is>
      </c>
      <c r="D61" s="16" t="n">
        <v>1882.19</v>
      </c>
      <c r="E61" s="16" t="n">
        <v>1858.2</v>
      </c>
      <c r="F61" s="12">
        <f>IF(D61&gt;0, (E61-D61)/D61, 0)</f>
        <v/>
      </c>
      <c r="G61" s="16" t="n">
        <v>1334.04</v>
      </c>
      <c r="H61" s="16" t="n">
        <v>1201.47</v>
      </c>
      <c r="I61" s="16" t="n">
        <v>1963.08</v>
      </c>
      <c r="J61" s="16" t="n">
        <v>1938.81</v>
      </c>
      <c r="K61" s="23" t="n">
        <v>11233061</v>
      </c>
      <c r="L61" s="23" t="n">
        <v>11066130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9" t="inlineStr">
        <is>
          <t>1table</t>
        </is>
      </c>
      <c r="D78" s="11" t="n">
        <v>12581.47</v>
      </c>
      <c r="E78" s="11" t="n">
        <v>18730.75</v>
      </c>
      <c r="F78" s="17">
        <f>IF(D78&gt;0, (E78-D78)/D78, 0)</f>
        <v/>
      </c>
      <c r="G78" s="11" t="n">
        <v>2.27</v>
      </c>
      <c r="H78" s="11" t="n">
        <v>1.41</v>
      </c>
      <c r="I78" s="11" t="n">
        <v>4.5</v>
      </c>
      <c r="J78" s="11" t="n">
        <v>3.34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20" t="inlineStr">
        <is>
          <t>2table</t>
        </is>
      </c>
      <c r="D79" s="16" t="n">
        <v>6640.47</v>
      </c>
      <c r="E79" s="16" t="n">
        <v>7659.67</v>
      </c>
      <c r="F79" s="17">
        <f>IF(D79&gt;0, (E79-D79)/D79, 0)</f>
        <v/>
      </c>
      <c r="G79" s="16" t="n">
        <v>3.34</v>
      </c>
      <c r="H79" s="16" t="n">
        <v>3.06</v>
      </c>
      <c r="I79" s="16" t="n">
        <v>7.57</v>
      </c>
      <c r="J79" s="16" t="n">
        <v>7.79</v>
      </c>
      <c r="K79" s="18" t="n">
        <v>0</v>
      </c>
      <c r="L79" s="18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9" t="inlineStr">
        <is>
          <t>3table</t>
        </is>
      </c>
      <c r="D80" s="11" t="n">
        <v>5452.02</v>
      </c>
      <c r="E80" s="11" t="n">
        <v>6304.13</v>
      </c>
      <c r="F80" s="17">
        <f>IF(D80&gt;0, (E80-D80)/D80, 0)</f>
        <v/>
      </c>
      <c r="G80" s="11" t="n">
        <v>4.08</v>
      </c>
      <c r="H80" s="11" t="n">
        <v>3.77</v>
      </c>
      <c r="I80" s="11" t="n">
        <v>9.640000000000001</v>
      </c>
      <c r="J80" s="11" t="n">
        <v>9.390000000000001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20" t="inlineStr">
        <is>
          <t>4table</t>
        </is>
      </c>
      <c r="D81" s="16" t="n">
        <v>4091.48</v>
      </c>
      <c r="E81" s="16" t="n">
        <v>4390.46</v>
      </c>
      <c r="F81" s="17">
        <f>IF(D81&gt;0, (E81-D81)/D81, 0)</f>
        <v/>
      </c>
      <c r="G81" s="16" t="n">
        <v>5.37</v>
      </c>
      <c r="H81" s="16" t="n">
        <v>5.24</v>
      </c>
      <c r="I81" s="16" t="n">
        <v>12.32</v>
      </c>
      <c r="J81" s="16" t="n">
        <v>12.78</v>
      </c>
      <c r="K81" s="18" t="n">
        <v>0</v>
      </c>
      <c r="L81" s="18" t="n">
        <v>0</v>
      </c>
    </row>
    <row r="82" ht="20" customHeight="1">
      <c r="A82" s="9" t="inlineStr">
        <is>
          <t>Small</t>
        </is>
      </c>
      <c r="B82" s="9" t="inlineStr">
        <is>
          <t>100 conn (4 threads)</t>
        </is>
      </c>
      <c r="C82" s="19" t="inlineStr">
        <is>
          <t>1table</t>
        </is>
      </c>
      <c r="D82" s="11" t="n">
        <v>12991.53</v>
      </c>
      <c r="E82" s="11" t="n">
        <v>16223.81</v>
      </c>
      <c r="F82" s="17">
        <f>IF(D82&gt;0, (E82-D82)/D82, 0)</f>
        <v/>
      </c>
      <c r="G82" s="11" t="n">
        <v>9.25</v>
      </c>
      <c r="H82" s="11" t="n">
        <v>7.35</v>
      </c>
      <c r="I82" s="11" t="n">
        <v>26.37</v>
      </c>
      <c r="J82" s="11" t="n">
        <v>20.15</v>
      </c>
      <c r="K82" s="13" t="n">
        <v>0</v>
      </c>
      <c r="L82" s="13" t="n">
        <v>0</v>
      </c>
    </row>
    <row r="83" ht="20" customHeight="1">
      <c r="A83" s="14" t="inlineStr">
        <is>
          <t>Small</t>
        </is>
      </c>
      <c r="B83" s="14" t="inlineStr">
        <is>
          <t>100 conn (4 threads)</t>
        </is>
      </c>
      <c r="C83" s="20" t="inlineStr">
        <is>
          <t>2table</t>
        </is>
      </c>
      <c r="D83" s="16" t="n">
        <v>7940.02</v>
      </c>
      <c r="E83" s="16" t="n">
        <v>9946.59</v>
      </c>
      <c r="F83" s="17">
        <f>IF(D83&gt;0, (E83-D83)/D83, 0)</f>
        <v/>
      </c>
      <c r="G83" s="16" t="n">
        <v>14.38</v>
      </c>
      <c r="H83" s="16" t="n">
        <v>11.53</v>
      </c>
      <c r="I83" s="16" t="n">
        <v>38.16</v>
      </c>
      <c r="J83" s="16" t="n">
        <v>30.16</v>
      </c>
      <c r="K83" s="18" t="n">
        <v>0</v>
      </c>
      <c r="L83" s="18" t="n">
        <v>0</v>
      </c>
    </row>
    <row r="84" ht="20" customHeight="1">
      <c r="A84" s="9" t="inlineStr">
        <is>
          <t>Small</t>
        </is>
      </c>
      <c r="B84" s="9" t="inlineStr">
        <is>
          <t>100 conn (4 threads)</t>
        </is>
      </c>
      <c r="C84" s="19" t="inlineStr">
        <is>
          <t>3table</t>
        </is>
      </c>
      <c r="D84" s="11" t="n">
        <v>6644.96</v>
      </c>
      <c r="E84" s="11" t="n">
        <v>8090.44</v>
      </c>
      <c r="F84" s="17">
        <f>IF(D84&gt;0, (E84-D84)/D84, 0)</f>
        <v/>
      </c>
      <c r="G84" s="11" t="n">
        <v>17.27</v>
      </c>
      <c r="H84" s="11" t="n">
        <v>14.58</v>
      </c>
      <c r="I84" s="11" t="n">
        <v>45.57</v>
      </c>
      <c r="J84" s="11" t="n">
        <v>39.91</v>
      </c>
      <c r="K84" s="13" t="n">
        <v>0</v>
      </c>
      <c r="L84" s="13" t="n">
        <v>0</v>
      </c>
    </row>
    <row r="85" ht="20" customHeight="1">
      <c r="A85" s="14" t="inlineStr">
        <is>
          <t>Small</t>
        </is>
      </c>
      <c r="B85" s="14" t="inlineStr">
        <is>
          <t>100 conn (4 threads)</t>
        </is>
      </c>
      <c r="C85" s="20" t="inlineStr">
        <is>
          <t>4table</t>
        </is>
      </c>
      <c r="D85" s="16" t="n">
        <v>4886.8</v>
      </c>
      <c r="E85" s="16" t="n">
        <v>5673.3</v>
      </c>
      <c r="F85" s="17">
        <f>IF(D85&gt;0, (E85-D85)/D85, 0)</f>
        <v/>
      </c>
      <c r="G85" s="16" t="n">
        <v>24.8</v>
      </c>
      <c r="H85" s="16" t="n">
        <v>20.05</v>
      </c>
      <c r="I85" s="16" t="n">
        <v>72.48999999999999</v>
      </c>
      <c r="J85" s="16" t="n">
        <v>52.46</v>
      </c>
      <c r="K85" s="18" t="n">
        <v>0</v>
      </c>
      <c r="L85" s="18" t="n">
        <v>0</v>
      </c>
    </row>
    <row r="86" ht="20" customHeight="1">
      <c r="A86" s="9" t="inlineStr">
        <is>
          <t>General</t>
        </is>
      </c>
      <c r="B86" s="9" t="inlineStr">
        <is>
          <t>500 conn (8 threads)</t>
        </is>
      </c>
      <c r="C86" s="19" t="inlineStr">
        <is>
          <t>1table</t>
        </is>
      </c>
      <c r="D86" s="11" t="n">
        <v>12337.62</v>
      </c>
      <c r="E86" s="11" t="n">
        <v>15039.32</v>
      </c>
      <c r="F86" s="17">
        <f>IF(D86&gt;0, (E86-D86)/D86, 0)</f>
        <v/>
      </c>
      <c r="G86" s="11" t="n">
        <v>44.58</v>
      </c>
      <c r="H86" s="11" t="n">
        <v>34.36</v>
      </c>
      <c r="I86" s="11" t="n">
        <v>114.27</v>
      </c>
      <c r="J86" s="11" t="n">
        <v>73.95</v>
      </c>
      <c r="K86" s="13" t="n">
        <v>0</v>
      </c>
      <c r="L86" s="13" t="n">
        <v>0</v>
      </c>
    </row>
    <row r="87" ht="20" customHeight="1">
      <c r="A87" s="14" t="inlineStr">
        <is>
          <t>General</t>
        </is>
      </c>
      <c r="B87" s="14" t="inlineStr">
        <is>
          <t>500 conn (8 threads)</t>
        </is>
      </c>
      <c r="C87" s="20" t="inlineStr">
        <is>
          <t>2table</t>
        </is>
      </c>
      <c r="D87" s="16" t="n">
        <v>7837.77</v>
      </c>
      <c r="E87" s="16" t="n">
        <v>9655.32</v>
      </c>
      <c r="F87" s="17">
        <f>IF(D87&gt;0, (E87-D87)/D87, 0)</f>
        <v/>
      </c>
      <c r="G87" s="16" t="n">
        <v>73.29000000000001</v>
      </c>
      <c r="H87" s="16" t="n">
        <v>53.01</v>
      </c>
      <c r="I87" s="16" t="n">
        <v>204.06</v>
      </c>
      <c r="J87" s="16" t="n">
        <v>110.14</v>
      </c>
      <c r="K87" s="18" t="n">
        <v>0</v>
      </c>
      <c r="L87" s="18" t="n">
        <v>0</v>
      </c>
    </row>
    <row r="88" ht="20" customHeight="1">
      <c r="A88" s="9" t="inlineStr">
        <is>
          <t>General</t>
        </is>
      </c>
      <c r="B88" s="9" t="inlineStr">
        <is>
          <t>500 conn (8 threads)</t>
        </is>
      </c>
      <c r="C88" s="19" t="inlineStr">
        <is>
          <t>3table</t>
        </is>
      </c>
      <c r="D88" s="11" t="n">
        <v>6595.58</v>
      </c>
      <c r="E88" s="11" t="n">
        <v>7891.13</v>
      </c>
      <c r="F88" s="17">
        <f>IF(D88&gt;0, (E88-D88)/D88, 0)</f>
        <v/>
      </c>
      <c r="G88" s="11" t="n">
        <v>84.16</v>
      </c>
      <c r="H88" s="11" t="n">
        <v>65.34999999999999</v>
      </c>
      <c r="I88" s="11" t="n">
        <v>220.65</v>
      </c>
      <c r="J88" s="11" t="n">
        <v>138.86</v>
      </c>
      <c r="K88" s="13" t="n">
        <v>0</v>
      </c>
      <c r="L88" s="13" t="n">
        <v>0</v>
      </c>
    </row>
    <row r="89" ht="20" customHeight="1">
      <c r="A89" s="14" t="inlineStr">
        <is>
          <t>General</t>
        </is>
      </c>
      <c r="B89" s="14" t="inlineStr">
        <is>
          <t>500 conn (8 threads)</t>
        </is>
      </c>
      <c r="C89" s="20" t="inlineStr">
        <is>
          <t>4table</t>
        </is>
      </c>
      <c r="D89" s="16" t="n">
        <v>4839.8</v>
      </c>
      <c r="E89" s="16" t="n">
        <v>5522.55</v>
      </c>
      <c r="F89" s="17">
        <f>IF(D89&gt;0, (E89-D89)/D89, 0)</f>
        <v/>
      </c>
      <c r="G89" s="16" t="n">
        <v>120.17</v>
      </c>
      <c r="H89" s="16" t="n">
        <v>92.31</v>
      </c>
      <c r="I89" s="16" t="n">
        <v>335.52</v>
      </c>
      <c r="J89" s="16" t="n">
        <v>188.89</v>
      </c>
      <c r="K89" s="18" t="n">
        <v>0</v>
      </c>
      <c r="L89" s="18" t="n">
        <v>0</v>
      </c>
    </row>
    <row r="90" ht="20" customHeight="1">
      <c r="A90" s="9" t="inlineStr">
        <is>
          <t>High</t>
        </is>
      </c>
      <c r="B90" s="9" t="inlineStr">
        <is>
          <t>2,000 conn (8 threads)</t>
        </is>
      </c>
      <c r="C90" s="19" t="inlineStr">
        <is>
          <t>1table</t>
        </is>
      </c>
      <c r="D90" s="11" t="n">
        <v>12115.97</v>
      </c>
      <c r="E90" s="11" t="n">
        <v>15198.4</v>
      </c>
      <c r="F90" s="17">
        <f>IF(D90&gt;0, (E90-D90)/D90, 0)</f>
        <v/>
      </c>
      <c r="G90" s="11" t="n">
        <v>167.56</v>
      </c>
      <c r="H90" s="11" t="n">
        <v>131.98</v>
      </c>
      <c r="I90" s="11" t="n">
        <v>327.38</v>
      </c>
      <c r="J90" s="11" t="n">
        <v>217.8</v>
      </c>
      <c r="K90" s="13" t="n">
        <v>0</v>
      </c>
      <c r="L90" s="13" t="n">
        <v>0</v>
      </c>
    </row>
    <row r="91" ht="20" customHeight="1">
      <c r="A91" s="14" t="inlineStr">
        <is>
          <t>High</t>
        </is>
      </c>
      <c r="B91" s="14" t="inlineStr">
        <is>
          <t>2,000 conn (8 threads)</t>
        </is>
      </c>
      <c r="C91" s="20" t="inlineStr">
        <is>
          <t>2table</t>
        </is>
      </c>
      <c r="D91" s="16" t="n">
        <v>7718.06</v>
      </c>
      <c r="E91" s="16" t="n">
        <v>9623.299999999999</v>
      </c>
      <c r="F91" s="17">
        <f>IF(D91&gt;0, (E91-D91)/D91, 0)</f>
        <v/>
      </c>
      <c r="G91" s="16" t="n">
        <v>262.92</v>
      </c>
      <c r="H91" s="16" t="n">
        <v>208.16</v>
      </c>
      <c r="I91" s="16" t="n">
        <v>518.8</v>
      </c>
      <c r="J91" s="16" t="n">
        <v>347.05</v>
      </c>
      <c r="K91" s="18" t="n">
        <v>0</v>
      </c>
      <c r="L91" s="18" t="n">
        <v>0</v>
      </c>
    </row>
    <row r="92" ht="20" customHeight="1">
      <c r="A92" s="9" t="inlineStr">
        <is>
          <t>High</t>
        </is>
      </c>
      <c r="B92" s="9" t="inlineStr">
        <is>
          <t>2,000 conn (8 threads)</t>
        </is>
      </c>
      <c r="C92" s="19" t="inlineStr">
        <is>
          <t>3table</t>
        </is>
      </c>
      <c r="D92" s="11" t="n">
        <v>6492.29</v>
      </c>
      <c r="E92" s="11" t="n">
        <v>7846.1</v>
      </c>
      <c r="F92" s="17">
        <f>IF(D92&gt;0, (E92-D92)/D92, 0)</f>
        <v/>
      </c>
      <c r="G92" s="11" t="n">
        <v>312.14</v>
      </c>
      <c r="H92" s="11" t="n">
        <v>255.54</v>
      </c>
      <c r="I92" s="11" t="n">
        <v>602.03</v>
      </c>
      <c r="J92" s="11" t="n">
        <v>420.46</v>
      </c>
      <c r="K92" s="13" t="n">
        <v>0</v>
      </c>
      <c r="L92" s="13" t="n">
        <v>0</v>
      </c>
    </row>
    <row r="93" ht="20" customHeight="1">
      <c r="A93" s="14" t="inlineStr">
        <is>
          <t>High</t>
        </is>
      </c>
      <c r="B93" s="14" t="inlineStr">
        <is>
          <t>2,000 conn (8 threads)</t>
        </is>
      </c>
      <c r="C93" s="20" t="inlineStr">
        <is>
          <t>4table</t>
        </is>
      </c>
      <c r="D93" s="16" t="n">
        <v>4791.45</v>
      </c>
      <c r="E93" s="16" t="n">
        <v>5514.66</v>
      </c>
      <c r="F93" s="17">
        <f>IF(D93&gt;0, (E93-D93)/D93, 0)</f>
        <v/>
      </c>
      <c r="G93" s="16" t="n">
        <v>420.86</v>
      </c>
      <c r="H93" s="16" t="n">
        <v>363.19</v>
      </c>
      <c r="I93" s="16" t="n">
        <v>792.87</v>
      </c>
      <c r="J93" s="16" t="n">
        <v>589.5700000000001</v>
      </c>
      <c r="K93" s="23" t="n">
        <v>352</v>
      </c>
      <c r="L93" s="23" t="n">
        <v>21</v>
      </c>
    </row>
    <row r="94" ht="20" customHeight="1">
      <c r="A94" s="9" t="inlineStr">
        <is>
          <t>Stress</t>
        </is>
      </c>
      <c r="B94" s="9" t="inlineStr">
        <is>
          <t>10,000 conn (16 threads)</t>
        </is>
      </c>
      <c r="C94" s="19" t="inlineStr">
        <is>
          <t>1table</t>
        </is>
      </c>
      <c r="D94" s="11" t="n">
        <v>11841.08</v>
      </c>
      <c r="E94" s="11" t="n">
        <v>14907.18</v>
      </c>
      <c r="F94" s="17">
        <f>IF(D94&gt;0, (E94-D94)/D94, 0)</f>
        <v/>
      </c>
      <c r="G94" s="11" t="n">
        <v>838.95</v>
      </c>
      <c r="H94" s="11" t="n">
        <v>669.76</v>
      </c>
      <c r="I94" s="11" t="n">
        <v>1226.74</v>
      </c>
      <c r="J94" s="11" t="n">
        <v>946.48</v>
      </c>
      <c r="K94" s="23" t="n">
        <v>116310</v>
      </c>
      <c r="L94" s="23" t="n">
        <v>688</v>
      </c>
    </row>
    <row r="95" ht="20" customHeight="1">
      <c r="A95" s="14" t="inlineStr">
        <is>
          <t>Stress</t>
        </is>
      </c>
      <c r="B95" s="14" t="inlineStr">
        <is>
          <t>10,000 conn (16 threads)</t>
        </is>
      </c>
      <c r="C95" s="20" t="inlineStr">
        <is>
          <t>2table</t>
        </is>
      </c>
      <c r="D95" s="16" t="n">
        <v>7614.33</v>
      </c>
      <c r="E95" s="16" t="n">
        <v>9532.92</v>
      </c>
      <c r="F95" s="17">
        <f>IF(D95&gt;0, (E95-D95)/D95, 0)</f>
        <v/>
      </c>
      <c r="G95" s="16" t="n">
        <v>1298.96</v>
      </c>
      <c r="H95" s="16" t="n">
        <v>1042.03</v>
      </c>
      <c r="I95" s="16" t="n">
        <v>1658.4</v>
      </c>
      <c r="J95" s="16" t="n">
        <v>1541.74</v>
      </c>
      <c r="K95" s="23" t="n">
        <v>261650</v>
      </c>
      <c r="L95" s="23" t="n">
        <v>199775</v>
      </c>
    </row>
    <row r="96" ht="20" customHeight="1">
      <c r="A96" s="9" t="inlineStr">
        <is>
          <t>Stress</t>
        </is>
      </c>
      <c r="B96" s="9" t="inlineStr">
        <is>
          <t>10,000 conn (16 threads)</t>
        </is>
      </c>
      <c r="C96" s="19" t="inlineStr">
        <is>
          <t>3table</t>
        </is>
      </c>
      <c r="D96" s="11" t="n">
        <v>6494.12</v>
      </c>
      <c r="E96" s="11" t="n">
        <v>7800.7</v>
      </c>
      <c r="F96" s="17">
        <f>IF(D96&gt;0, (E96-D96)/D96, 0)</f>
        <v/>
      </c>
      <c r="G96" s="11" t="n">
        <v>1483.81</v>
      </c>
      <c r="H96" s="11" t="n">
        <v>1202.15</v>
      </c>
      <c r="I96" s="11" t="n">
        <v>1874.12</v>
      </c>
      <c r="J96" s="11" t="n">
        <v>1815.01</v>
      </c>
      <c r="K96" s="23" t="n">
        <v>1963204</v>
      </c>
      <c r="L96" s="23" t="n">
        <v>3082224</v>
      </c>
    </row>
    <row r="97" ht="20" customHeight="1">
      <c r="A97" s="14" t="inlineStr">
        <is>
          <t>Stress</t>
        </is>
      </c>
      <c r="B97" s="14" t="inlineStr">
        <is>
          <t>10,000 conn (16 threads)</t>
        </is>
      </c>
      <c r="C97" s="20" t="inlineStr">
        <is>
          <t>4table</t>
        </is>
      </c>
      <c r="D97" s="16" t="n">
        <v>4772.92</v>
      </c>
      <c r="E97" s="16" t="n">
        <v>5542.99</v>
      </c>
      <c r="F97" s="17">
        <f>IF(D97&gt;0, (E97-D97)/D97, 0)</f>
        <v/>
      </c>
      <c r="G97" s="16" t="n">
        <v>1598.88</v>
      </c>
      <c r="H97" s="16" t="n">
        <v>1261.41</v>
      </c>
      <c r="I97" s="16" t="n">
        <v>1950.49</v>
      </c>
      <c r="J97" s="16" t="n">
        <v>1876.15</v>
      </c>
      <c r="K97" s="23" t="n">
        <v>12683295</v>
      </c>
      <c r="L97" s="23" t="n">
        <v>10699464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1" workbookViewId="0">
      <selection activeCell="A1" sqref="A1"/>
    </sheetView>
  </sheetViews>
  <sheetFormatPr baseColWidth="8" defaultRowHeight="15"/>
  <cols>
    <col width="113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GO (FIBER) - DETAILED BENCHMARK SPECIFICATION</t>
        </is>
      </c>
    </row>
    <row r="2" ht="18" customHeight="1">
      <c r="A2" s="2" t="inlineStr">
        <is>
          <t>Runtime: Go 1.21 (Gofiber / go-sql-driver)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9" t="inlineStr">
        <is>
          <t>1table</t>
        </is>
      </c>
      <c r="D6" s="11" t="n">
        <v>7850.23</v>
      </c>
      <c r="E6" s="11" t="n">
        <v>9711.190000000001</v>
      </c>
      <c r="F6" s="17">
        <f>IF(D6&gt;0, (E6-D6)/D6, 0)</f>
        <v/>
      </c>
      <c r="G6" s="11" t="n">
        <v>2.53</v>
      </c>
      <c r="H6" s="11" t="n">
        <v>2.03</v>
      </c>
      <c r="I6" s="11" t="n">
        <v>4.15</v>
      </c>
      <c r="J6" s="11" t="n">
        <v>3.56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0" t="inlineStr">
        <is>
          <t>2join</t>
        </is>
      </c>
      <c r="D7" s="16" t="n">
        <v>5655.67</v>
      </c>
      <c r="E7" s="16" t="n">
        <v>6369.51</v>
      </c>
      <c r="F7" s="17">
        <f>IF(D7&gt;0, (E7-D7)/D7, 0)</f>
        <v/>
      </c>
      <c r="G7" s="16" t="n">
        <v>3.51</v>
      </c>
      <c r="H7" s="16" t="n">
        <v>3.12</v>
      </c>
      <c r="I7" s="16" t="n">
        <v>5.73</v>
      </c>
      <c r="J7" s="16" t="n">
        <v>5.33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9" t="inlineStr">
        <is>
          <t>3join</t>
        </is>
      </c>
      <c r="D8" s="11" t="n">
        <v>318.34</v>
      </c>
      <c r="E8" s="11" t="n">
        <v>326.36</v>
      </c>
      <c r="F8" s="17">
        <f>IF(D8&gt;0, (E8-D8)/D8, 0)</f>
        <v/>
      </c>
      <c r="G8" s="11" t="n">
        <v>62.76</v>
      </c>
      <c r="H8" s="11" t="n">
        <v>61.2</v>
      </c>
      <c r="I8" s="11" t="n">
        <v>102.98</v>
      </c>
      <c r="J8" s="11" t="n">
        <v>100.65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0" t="inlineStr">
        <is>
          <t>4join</t>
        </is>
      </c>
      <c r="D9" s="16" t="n">
        <v>78.02</v>
      </c>
      <c r="E9" s="16" t="n">
        <v>79.29000000000001</v>
      </c>
      <c r="F9" s="17">
        <f>IF(D9&gt;0, (E9-D9)/D9, 0)</f>
        <v/>
      </c>
      <c r="G9" s="16" t="n">
        <v>255.06</v>
      </c>
      <c r="H9" s="16" t="n">
        <v>251.01</v>
      </c>
      <c r="I9" s="16" t="n">
        <v>414.02</v>
      </c>
      <c r="J9" s="16" t="n">
        <v>409.67</v>
      </c>
      <c r="K9" s="18" t="n">
        <v>0</v>
      </c>
      <c r="L9" s="18" t="n">
        <v>0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19" t="inlineStr">
        <is>
          <t>1table</t>
        </is>
      </c>
      <c r="D10" s="11" t="n">
        <v>11569.88</v>
      </c>
      <c r="E10" s="11" t="n">
        <v>15095.84</v>
      </c>
      <c r="F10" s="17">
        <f>IF(D10&gt;0, (E10-D10)/D10, 0)</f>
        <v/>
      </c>
      <c r="G10" s="11" t="n">
        <v>10.25</v>
      </c>
      <c r="H10" s="11" t="n">
        <v>8.31</v>
      </c>
      <c r="I10" s="11" t="n">
        <v>28.62</v>
      </c>
      <c r="J10" s="11" t="n">
        <v>24.88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0" t="inlineStr">
        <is>
          <t>2join</t>
        </is>
      </c>
      <c r="D11" s="16" t="n">
        <v>7994.66</v>
      </c>
      <c r="E11" s="16" t="n">
        <v>8889.59</v>
      </c>
      <c r="F11" s="17">
        <f>IF(D11&gt;0, (E11-D11)/D11, 0)</f>
        <v/>
      </c>
      <c r="G11" s="16" t="n">
        <v>12.66</v>
      </c>
      <c r="H11" s="16" t="n">
        <v>11.33</v>
      </c>
      <c r="I11" s="16" t="n">
        <v>23.93</v>
      </c>
      <c r="J11" s="16" t="n">
        <v>20.27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19" t="inlineStr">
        <is>
          <t>3join</t>
        </is>
      </c>
      <c r="D12" s="11" t="n">
        <v>308.26</v>
      </c>
      <c r="E12" s="11" t="n">
        <v>319.52</v>
      </c>
      <c r="F12" s="17">
        <f>IF(D12&gt;0, (E12-D12)/D12, 0)</f>
        <v/>
      </c>
      <c r="G12" s="11" t="n">
        <v>323.28</v>
      </c>
      <c r="H12" s="11" t="n">
        <v>311.96</v>
      </c>
      <c r="I12" s="11" t="n">
        <v>433.36</v>
      </c>
      <c r="J12" s="11" t="n">
        <v>384.47</v>
      </c>
      <c r="K12" s="13" t="n">
        <v>0</v>
      </c>
      <c r="L12" s="13" t="n">
        <v>0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0" t="inlineStr">
        <is>
          <t>4join</t>
        </is>
      </c>
      <c r="D13" s="16" t="n">
        <v>73.37</v>
      </c>
      <c r="E13" s="16" t="n">
        <v>73.93000000000001</v>
      </c>
      <c r="F13" s="22">
        <f>IF(D13&gt;0, (E13-D13)/D13, 0)</f>
        <v/>
      </c>
      <c r="G13" s="16" t="n">
        <v>1345.63</v>
      </c>
      <c r="H13" s="16" t="n">
        <v>1336.05</v>
      </c>
      <c r="I13" s="16" t="n">
        <v>1616.88</v>
      </c>
      <c r="J13" s="16" t="n">
        <v>1591.57</v>
      </c>
      <c r="K13" s="23" t="n">
        <v>137</v>
      </c>
      <c r="L13" s="23" t="n">
        <v>76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19" t="inlineStr">
        <is>
          <t>1table</t>
        </is>
      </c>
      <c r="D14" s="11" t="n">
        <v>12838.36</v>
      </c>
      <c r="E14" s="11" t="n">
        <v>15552.29</v>
      </c>
      <c r="F14" s="17">
        <f>IF(D14&gt;0, (E14-D14)/D14, 0)</f>
        <v/>
      </c>
      <c r="G14" s="11" t="n">
        <v>59.43</v>
      </c>
      <c r="H14" s="11" t="n">
        <v>57.52</v>
      </c>
      <c r="I14" s="11" t="n">
        <v>210.42</v>
      </c>
      <c r="J14" s="11" t="n">
        <v>244.85</v>
      </c>
      <c r="K14" s="13" t="n">
        <v>0</v>
      </c>
      <c r="L14" s="13" t="n">
        <v>0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0" t="inlineStr">
        <is>
          <t>2join</t>
        </is>
      </c>
      <c r="D15" s="16" t="n">
        <v>8001.6</v>
      </c>
      <c r="E15" s="16" t="n">
        <v>8867.74</v>
      </c>
      <c r="F15" s="17">
        <f>IF(D15&gt;0, (E15-D15)/D15, 0)</f>
        <v/>
      </c>
      <c r="G15" s="16" t="n">
        <v>120.29</v>
      </c>
      <c r="H15" s="16" t="n">
        <v>127.69</v>
      </c>
      <c r="I15" s="16" t="n">
        <v>526.7</v>
      </c>
      <c r="J15" s="16" t="n">
        <v>585.42</v>
      </c>
      <c r="K15" s="23" t="n">
        <v>2322</v>
      </c>
      <c r="L15" s="23" t="n">
        <v>1215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19" t="inlineStr">
        <is>
          <t>3join</t>
        </is>
      </c>
      <c r="D16" s="11" t="n">
        <v>301.06</v>
      </c>
      <c r="E16" s="11" t="n">
        <v>315.32</v>
      </c>
      <c r="F16" s="17">
        <f>IF(D16&gt;0, (E16-D16)/D16, 0)</f>
        <v/>
      </c>
      <c r="G16" s="11" t="n">
        <v>788.23</v>
      </c>
      <c r="H16" s="11" t="n">
        <v>770.84</v>
      </c>
      <c r="I16" s="11" t="n">
        <v>1704.27</v>
      </c>
      <c r="J16" s="11" t="n">
        <v>1692.12</v>
      </c>
      <c r="K16" s="23" t="n">
        <v>71489</v>
      </c>
      <c r="L16" s="23" t="n">
        <v>68943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0" t="inlineStr">
        <is>
          <t>4join</t>
        </is>
      </c>
      <c r="D17" s="16" t="n">
        <v>68.36</v>
      </c>
      <c r="E17" s="16" t="n">
        <v>68.64</v>
      </c>
      <c r="F17" s="22">
        <f>IF(D17&gt;0, (E17-D17)/D17, 0)</f>
        <v/>
      </c>
      <c r="G17" s="16" t="n">
        <v>1603.38</v>
      </c>
      <c r="H17" s="16" t="n">
        <v>1605.45</v>
      </c>
      <c r="I17" s="16" t="n">
        <v>1954.82</v>
      </c>
      <c r="J17" s="16" t="n">
        <v>1953.21</v>
      </c>
      <c r="K17" s="23" t="n">
        <v>63088</v>
      </c>
      <c r="L17" s="23" t="n">
        <v>62622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19" t="inlineStr">
        <is>
          <t>1table</t>
        </is>
      </c>
      <c r="D18" s="11" t="n">
        <v>14643.5</v>
      </c>
      <c r="E18" s="11" t="n">
        <v>18501.19</v>
      </c>
      <c r="F18" s="17">
        <f>IF(D18&gt;0, (E18-D18)/D18, 0)</f>
        <v/>
      </c>
      <c r="G18" s="11" t="n">
        <v>182.32</v>
      </c>
      <c r="H18" s="11" t="n">
        <v>168.49</v>
      </c>
      <c r="I18" s="11" t="n">
        <v>759.66</v>
      </c>
      <c r="J18" s="11" t="n">
        <v>750.88</v>
      </c>
      <c r="K18" s="23" t="n">
        <v>265267</v>
      </c>
      <c r="L18" s="23" t="n">
        <v>236055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0" t="inlineStr">
        <is>
          <t>2join</t>
        </is>
      </c>
      <c r="D19" s="16" t="n">
        <v>8019.01</v>
      </c>
      <c r="E19" s="16" t="n">
        <v>8886.85</v>
      </c>
      <c r="F19" s="17">
        <f>IF(D19&gt;0, (E19-D19)/D19, 0)</f>
        <v/>
      </c>
      <c r="G19" s="16" t="n">
        <v>236.02</v>
      </c>
      <c r="H19" s="16" t="n">
        <v>224.33</v>
      </c>
      <c r="I19" s="16" t="n">
        <v>891.6</v>
      </c>
      <c r="J19" s="16" t="n">
        <v>858.28</v>
      </c>
      <c r="K19" s="23" t="n">
        <v>322158</v>
      </c>
      <c r="L19" s="23" t="n">
        <v>319553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19" t="inlineStr">
        <is>
          <t>3join</t>
        </is>
      </c>
      <c r="D20" s="11" t="n">
        <v>290.43</v>
      </c>
      <c r="E20" s="11" t="n">
        <v>292.17</v>
      </c>
      <c r="F20" s="21">
        <f>IF(D20&gt;0, (E20-D20)/D20, 0)</f>
        <v/>
      </c>
      <c r="G20" s="11" t="n">
        <v>982.78</v>
      </c>
      <c r="H20" s="11" t="n">
        <v>952.62</v>
      </c>
      <c r="I20" s="11" t="n">
        <v>1855.41</v>
      </c>
      <c r="J20" s="11" t="n">
        <v>1841</v>
      </c>
      <c r="K20" s="23" t="n">
        <v>405682</v>
      </c>
      <c r="L20" s="23" t="n">
        <v>389165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0" t="inlineStr">
        <is>
          <t>4join</t>
        </is>
      </c>
      <c r="D21" s="16" t="n">
        <v>60.31</v>
      </c>
      <c r="E21" s="16" t="n">
        <v>60.7</v>
      </c>
      <c r="F21" s="22">
        <f>IF(D21&gt;0, (E21-D21)/D21, 0)</f>
        <v/>
      </c>
      <c r="G21" s="16" t="n">
        <v>1630.89</v>
      </c>
      <c r="H21" s="16" t="n">
        <v>1625.75</v>
      </c>
      <c r="I21" s="16" t="n">
        <v>1963.8</v>
      </c>
      <c r="J21" s="16" t="n">
        <v>1957.44</v>
      </c>
      <c r="K21" s="23" t="n">
        <v>136671</v>
      </c>
      <c r="L21" s="23" t="n">
        <v>135905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19" t="inlineStr">
        <is>
          <t>1table</t>
        </is>
      </c>
      <c r="D22" s="11" t="n">
        <v>15155.39</v>
      </c>
      <c r="E22" s="11" t="n">
        <v>19344.76</v>
      </c>
      <c r="F22" s="17">
        <f>IF(D22&gt;0, (E22-D22)/D22, 0)</f>
        <v/>
      </c>
      <c r="G22" s="11" t="n">
        <v>370.69</v>
      </c>
      <c r="H22" s="11" t="n">
        <v>296.83</v>
      </c>
      <c r="I22" s="11" t="n">
        <v>1298.17</v>
      </c>
      <c r="J22" s="11" t="n">
        <v>1113.42</v>
      </c>
      <c r="K22" s="23" t="n">
        <v>5861080</v>
      </c>
      <c r="L22" s="23" t="n">
        <v>4598461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0" t="inlineStr">
        <is>
          <t>2join</t>
        </is>
      </c>
      <c r="D23" s="16" t="n">
        <v>8003.86</v>
      </c>
      <c r="E23" s="16" t="n">
        <v>8775</v>
      </c>
      <c r="F23" s="17">
        <f>IF(D23&gt;0, (E23-D23)/D23, 0)</f>
        <v/>
      </c>
      <c r="G23" s="16" t="n">
        <v>468.24</v>
      </c>
      <c r="H23" s="16" t="n">
        <v>425.19</v>
      </c>
      <c r="I23" s="16" t="n">
        <v>1546.58</v>
      </c>
      <c r="J23" s="16" t="n">
        <v>1474</v>
      </c>
      <c r="K23" s="23" t="n">
        <v>6996562</v>
      </c>
      <c r="L23" s="23" t="n">
        <v>5716897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19" t="inlineStr">
        <is>
          <t>3join</t>
        </is>
      </c>
      <c r="D24" s="11" t="n">
        <v>273.34</v>
      </c>
      <c r="E24" s="11" t="n">
        <v>285.27</v>
      </c>
      <c r="F24" s="17">
        <f>IF(D24&gt;0, (E24-D24)/D24, 0)</f>
        <v/>
      </c>
      <c r="G24" s="11" t="n">
        <v>1092.33</v>
      </c>
      <c r="H24" s="11" t="n">
        <v>1087.45</v>
      </c>
      <c r="I24" s="11" t="n">
        <v>1895.21</v>
      </c>
      <c r="J24" s="11" t="n">
        <v>1894.86</v>
      </c>
      <c r="K24" s="23" t="n">
        <v>1427071</v>
      </c>
      <c r="L24" s="23" t="n">
        <v>1486959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0" t="inlineStr">
        <is>
          <t>4join</t>
        </is>
      </c>
      <c r="D25" s="16" t="n">
        <v>21.06</v>
      </c>
      <c r="E25" s="16" t="n">
        <v>46.22</v>
      </c>
      <c r="F25" s="17">
        <f>IF(D25&gt;0, (E25-D25)/D25, 0)</f>
        <v/>
      </c>
      <c r="G25" s="16" t="n">
        <v>569.21</v>
      </c>
      <c r="H25" s="16" t="n">
        <v>1625.08</v>
      </c>
      <c r="I25" s="16" t="n">
        <v>656</v>
      </c>
      <c r="J25" s="16" t="n">
        <v>1965.26</v>
      </c>
      <c r="K25" s="23" t="n">
        <v>1589051</v>
      </c>
      <c r="L25" s="23" t="n">
        <v>275038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9" t="inlineStr">
        <is>
          <t>1table</t>
        </is>
      </c>
      <c r="D42" s="11" t="n">
        <v>8027.43</v>
      </c>
      <c r="E42" s="11" t="n">
        <v>9867.879999999999</v>
      </c>
      <c r="F42" s="17">
        <f>IF(D42&gt;0, (E42-D42)/D42, 0)</f>
        <v/>
      </c>
      <c r="G42" s="11" t="n">
        <v>2.47</v>
      </c>
      <c r="H42" s="11" t="n">
        <v>2</v>
      </c>
      <c r="I42" s="11" t="n">
        <v>4.05</v>
      </c>
      <c r="J42" s="11" t="n">
        <v>3.5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20" t="inlineStr">
        <is>
          <t>2join</t>
        </is>
      </c>
      <c r="D43" s="16" t="n">
        <v>5574.52</v>
      </c>
      <c r="E43" s="16" t="n">
        <v>6169.79</v>
      </c>
      <c r="F43" s="17">
        <f>IF(D43&gt;0, (E43-D43)/D43, 0)</f>
        <v/>
      </c>
      <c r="G43" s="16" t="n">
        <v>3.56</v>
      </c>
      <c r="H43" s="16" t="n">
        <v>3.22</v>
      </c>
      <c r="I43" s="16" t="n">
        <v>5.81</v>
      </c>
      <c r="J43" s="16" t="n">
        <v>5.51</v>
      </c>
      <c r="K43" s="18" t="n">
        <v>0</v>
      </c>
      <c r="L43" s="18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9" t="inlineStr">
        <is>
          <t>3join</t>
        </is>
      </c>
      <c r="D44" s="11" t="n">
        <v>2191.46</v>
      </c>
      <c r="E44" s="11" t="n">
        <v>2030.45</v>
      </c>
      <c r="F44" s="12">
        <f>IF(D44&gt;0, (E44-D44)/D44, 0)</f>
        <v/>
      </c>
      <c r="G44" s="11" t="n">
        <v>9.16</v>
      </c>
      <c r="H44" s="11" t="n">
        <v>9.960000000000001</v>
      </c>
      <c r="I44" s="11" t="n">
        <v>15.73</v>
      </c>
      <c r="J44" s="11" t="n">
        <v>18.46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20" t="inlineStr">
        <is>
          <t>4join</t>
        </is>
      </c>
      <c r="D45" s="16" t="n">
        <v>1961.29</v>
      </c>
      <c r="E45" s="16" t="n">
        <v>1870.88</v>
      </c>
      <c r="F45" s="12">
        <f>IF(D45&gt;0, (E45-D45)/D45, 0)</f>
        <v/>
      </c>
      <c r="G45" s="16" t="n">
        <v>10.21</v>
      </c>
      <c r="H45" s="16" t="n">
        <v>10.74</v>
      </c>
      <c r="I45" s="16" t="n">
        <v>16.83</v>
      </c>
      <c r="J45" s="16" t="n">
        <v>18.77</v>
      </c>
      <c r="K45" s="18" t="n">
        <v>0</v>
      </c>
      <c r="L45" s="18" t="n">
        <v>0</v>
      </c>
    </row>
    <row r="46" ht="20" customHeight="1">
      <c r="A46" s="9" t="inlineStr">
        <is>
          <t>Small</t>
        </is>
      </c>
      <c r="B46" s="9" t="inlineStr">
        <is>
          <t>100 conn (4 threads)</t>
        </is>
      </c>
      <c r="C46" s="19" t="inlineStr">
        <is>
          <t>1table</t>
        </is>
      </c>
      <c r="D46" s="11" t="n">
        <v>11679.69</v>
      </c>
      <c r="E46" s="11" t="n">
        <v>15226.36</v>
      </c>
      <c r="F46" s="17">
        <f>IF(D46&gt;0, (E46-D46)/D46, 0)</f>
        <v/>
      </c>
      <c r="G46" s="11" t="n">
        <v>10.21</v>
      </c>
      <c r="H46" s="11" t="n">
        <v>8.27</v>
      </c>
      <c r="I46" s="11" t="n">
        <v>28.69</v>
      </c>
      <c r="J46" s="11" t="n">
        <v>24.87</v>
      </c>
      <c r="K46" s="13" t="n">
        <v>0</v>
      </c>
      <c r="L46" s="13" t="n">
        <v>0</v>
      </c>
    </row>
    <row r="47" ht="20" customHeight="1">
      <c r="A47" s="14" t="inlineStr">
        <is>
          <t>Small</t>
        </is>
      </c>
      <c r="B47" s="14" t="inlineStr">
        <is>
          <t>100 conn (4 threads)</t>
        </is>
      </c>
      <c r="C47" s="20" t="inlineStr">
        <is>
          <t>2join</t>
        </is>
      </c>
      <c r="D47" s="16" t="n">
        <v>7647.07</v>
      </c>
      <c r="E47" s="16" t="n">
        <v>8177.74</v>
      </c>
      <c r="F47" s="17">
        <f>IF(D47&gt;0, (E47-D47)/D47, 0)</f>
        <v/>
      </c>
      <c r="G47" s="16" t="n">
        <v>13.25</v>
      </c>
      <c r="H47" s="16" t="n">
        <v>12.32</v>
      </c>
      <c r="I47" s="16" t="n">
        <v>25.3</v>
      </c>
      <c r="J47" s="16" t="n">
        <v>22</v>
      </c>
      <c r="K47" s="18" t="n">
        <v>0</v>
      </c>
      <c r="L47" s="18" t="n">
        <v>0</v>
      </c>
    </row>
    <row r="48" ht="20" customHeight="1">
      <c r="A48" s="9" t="inlineStr">
        <is>
          <t>Small</t>
        </is>
      </c>
      <c r="B48" s="9" t="inlineStr">
        <is>
          <t>100 conn (4 threads)</t>
        </is>
      </c>
      <c r="C48" s="19" t="inlineStr">
        <is>
          <t>3join</t>
        </is>
      </c>
      <c r="D48" s="11" t="n">
        <v>2083.77</v>
      </c>
      <c r="E48" s="11" t="n">
        <v>2037.9</v>
      </c>
      <c r="F48" s="12">
        <f>IF(D48&gt;0, (E48-D48)/D48, 0)</f>
        <v/>
      </c>
      <c r="G48" s="11" t="n">
        <v>53.83</v>
      </c>
      <c r="H48" s="11" t="n">
        <v>55.06</v>
      </c>
      <c r="I48" s="11" t="n">
        <v>139.64</v>
      </c>
      <c r="J48" s="11" t="n">
        <v>143.16</v>
      </c>
      <c r="K48" s="13" t="n">
        <v>0</v>
      </c>
      <c r="L48" s="13" t="n">
        <v>0</v>
      </c>
    </row>
    <row r="49" ht="20" customHeight="1">
      <c r="A49" s="14" t="inlineStr">
        <is>
          <t>Small</t>
        </is>
      </c>
      <c r="B49" s="14" t="inlineStr">
        <is>
          <t>100 conn (4 threads)</t>
        </is>
      </c>
      <c r="C49" s="20" t="inlineStr">
        <is>
          <t>4join</t>
        </is>
      </c>
      <c r="D49" s="16" t="n">
        <v>1777.34</v>
      </c>
      <c r="E49" s="16" t="n">
        <v>1771.69</v>
      </c>
      <c r="F49" s="22">
        <f>IF(D49&gt;0, (E49-D49)/D49, 0)</f>
        <v/>
      </c>
      <c r="G49" s="16" t="n">
        <v>59.83</v>
      </c>
      <c r="H49" s="16" t="n">
        <v>60.02</v>
      </c>
      <c r="I49" s="16" t="n">
        <v>139.17</v>
      </c>
      <c r="J49" s="16" t="n">
        <v>140</v>
      </c>
      <c r="K49" s="18" t="n">
        <v>0</v>
      </c>
      <c r="L49" s="18" t="n">
        <v>0</v>
      </c>
    </row>
    <row r="50" ht="20" customHeight="1">
      <c r="A50" s="9" t="inlineStr">
        <is>
          <t>General</t>
        </is>
      </c>
      <c r="B50" s="9" t="inlineStr">
        <is>
          <t>500 conn (8 threads)</t>
        </is>
      </c>
      <c r="C50" s="19" t="inlineStr">
        <is>
          <t>1table</t>
        </is>
      </c>
      <c r="D50" s="11" t="n">
        <v>12987.45</v>
      </c>
      <c r="E50" s="11" t="n">
        <v>15759.4</v>
      </c>
      <c r="F50" s="17">
        <f>IF(D50&gt;0, (E50-D50)/D50, 0)</f>
        <v/>
      </c>
      <c r="G50" s="11" t="n">
        <v>57.87</v>
      </c>
      <c r="H50" s="11" t="n">
        <v>56.4</v>
      </c>
      <c r="I50" s="11" t="n">
        <v>202.87</v>
      </c>
      <c r="J50" s="11" t="n">
        <v>239.34</v>
      </c>
      <c r="K50" s="13" t="n">
        <v>0</v>
      </c>
      <c r="L50" s="13" t="n">
        <v>0</v>
      </c>
    </row>
    <row r="51" ht="20" customHeight="1">
      <c r="A51" s="14" t="inlineStr">
        <is>
          <t>General</t>
        </is>
      </c>
      <c r="B51" s="14" t="inlineStr">
        <is>
          <t>500 conn (8 threads)</t>
        </is>
      </c>
      <c r="C51" s="20" t="inlineStr">
        <is>
          <t>2join</t>
        </is>
      </c>
      <c r="D51" s="16" t="n">
        <v>7653.9</v>
      </c>
      <c r="E51" s="16" t="n">
        <v>8187.71</v>
      </c>
      <c r="F51" s="17">
        <f>IF(D51&gt;0, (E51-D51)/D51, 0)</f>
        <v/>
      </c>
      <c r="G51" s="16" t="n">
        <v>124.96</v>
      </c>
      <c r="H51" s="16" t="n">
        <v>137.67</v>
      </c>
      <c r="I51" s="16" t="n">
        <v>549.79</v>
      </c>
      <c r="J51" s="16" t="n">
        <v>634.11</v>
      </c>
      <c r="K51" s="23" t="n">
        <v>3055</v>
      </c>
      <c r="L51" s="23" t="n">
        <v>1648</v>
      </c>
    </row>
    <row r="52" ht="20" customHeight="1">
      <c r="A52" s="9" t="inlineStr">
        <is>
          <t>General</t>
        </is>
      </c>
      <c r="B52" s="9" t="inlineStr">
        <is>
          <t>500 conn (8 threads)</t>
        </is>
      </c>
      <c r="C52" s="19" t="inlineStr">
        <is>
          <t>3join</t>
        </is>
      </c>
      <c r="D52" s="11" t="n">
        <v>2048.86</v>
      </c>
      <c r="E52" s="11" t="n">
        <v>2006.63</v>
      </c>
      <c r="F52" s="12">
        <f>IF(D52&gt;0, (E52-D52)/D52, 0)</f>
        <v/>
      </c>
      <c r="G52" s="11" t="n">
        <v>259.58</v>
      </c>
      <c r="H52" s="11" t="n">
        <v>252.52</v>
      </c>
      <c r="I52" s="11" t="n">
        <v>875.1900000000001</v>
      </c>
      <c r="J52" s="11" t="n">
        <v>940.13</v>
      </c>
      <c r="K52" s="23" t="n">
        <v>27738</v>
      </c>
      <c r="L52" s="23" t="n">
        <v>41968</v>
      </c>
    </row>
    <row r="53" ht="20" customHeight="1">
      <c r="A53" s="14" t="inlineStr">
        <is>
          <t>General</t>
        </is>
      </c>
      <c r="B53" s="14" t="inlineStr">
        <is>
          <t>500 conn (8 threads)</t>
        </is>
      </c>
      <c r="C53" s="20" t="inlineStr">
        <is>
          <t>4join</t>
        </is>
      </c>
      <c r="D53" s="16" t="n">
        <v>1760.12</v>
      </c>
      <c r="E53" s="16" t="n">
        <v>1736.23</v>
      </c>
      <c r="F53" s="12">
        <f>IF(D53&gt;0, (E53-D53)/D53, 0)</f>
        <v/>
      </c>
      <c r="G53" s="16" t="n">
        <v>283.97</v>
      </c>
      <c r="H53" s="16" t="n">
        <v>267.41</v>
      </c>
      <c r="I53" s="16" t="n">
        <v>930.6900000000001</v>
      </c>
      <c r="J53" s="16" t="n">
        <v>944.55</v>
      </c>
      <c r="K53" s="23" t="n">
        <v>29536</v>
      </c>
      <c r="L53" s="23" t="n">
        <v>44235</v>
      </c>
    </row>
    <row r="54" ht="20" customHeight="1">
      <c r="A54" s="9" t="inlineStr">
        <is>
          <t>High</t>
        </is>
      </c>
      <c r="B54" s="9" t="inlineStr">
        <is>
          <t>2,000 conn (8 threads)</t>
        </is>
      </c>
      <c r="C54" s="19" t="inlineStr">
        <is>
          <t>1table</t>
        </is>
      </c>
      <c r="D54" s="11" t="n">
        <v>14835.24</v>
      </c>
      <c r="E54" s="11" t="n">
        <v>18661.83</v>
      </c>
      <c r="F54" s="17">
        <f>IF(D54&gt;0, (E54-D54)/D54, 0)</f>
        <v/>
      </c>
      <c r="G54" s="11" t="n">
        <v>180.83</v>
      </c>
      <c r="H54" s="11" t="n">
        <v>168.13</v>
      </c>
      <c r="I54" s="11" t="n">
        <v>755.2</v>
      </c>
      <c r="J54" s="11" t="n">
        <v>747.87</v>
      </c>
      <c r="K54" s="23" t="n">
        <v>262217</v>
      </c>
      <c r="L54" s="23" t="n">
        <v>228143</v>
      </c>
    </row>
    <row r="55" ht="20" customHeight="1">
      <c r="A55" s="14" t="inlineStr">
        <is>
          <t>High</t>
        </is>
      </c>
      <c r="B55" s="14" t="inlineStr">
        <is>
          <t>2,000 conn (8 threads)</t>
        </is>
      </c>
      <c r="C55" s="20" t="inlineStr">
        <is>
          <t>2join</t>
        </is>
      </c>
      <c r="D55" s="16" t="n">
        <v>7558.25</v>
      </c>
      <c r="E55" s="16" t="n">
        <v>8245.52</v>
      </c>
      <c r="F55" s="17">
        <f>IF(D55&gt;0, (E55-D55)/D55, 0)</f>
        <v/>
      </c>
      <c r="G55" s="16" t="n">
        <v>241.65</v>
      </c>
      <c r="H55" s="16" t="n">
        <v>232.06</v>
      </c>
      <c r="I55" s="16" t="n">
        <v>906.84</v>
      </c>
      <c r="J55" s="16" t="n">
        <v>883.26</v>
      </c>
      <c r="K55" s="23" t="n">
        <v>325293</v>
      </c>
      <c r="L55" s="23" t="n">
        <v>324348</v>
      </c>
    </row>
    <row r="56" ht="20" customHeight="1">
      <c r="A56" s="9" t="inlineStr">
        <is>
          <t>High</t>
        </is>
      </c>
      <c r="B56" s="9" t="inlineStr">
        <is>
          <t>2,000 conn (8 threads)</t>
        </is>
      </c>
      <c r="C56" s="19" t="inlineStr">
        <is>
          <t>3join</t>
        </is>
      </c>
      <c r="D56" s="11" t="n">
        <v>2010.02</v>
      </c>
      <c r="E56" s="11" t="n">
        <v>2026.99</v>
      </c>
      <c r="F56" s="21">
        <f>IF(D56&gt;0, (E56-D56)/D56, 0)</f>
        <v/>
      </c>
      <c r="G56" s="11" t="n">
        <v>459.58</v>
      </c>
      <c r="H56" s="11" t="n">
        <v>458.11</v>
      </c>
      <c r="I56" s="11" t="n">
        <v>1485.42</v>
      </c>
      <c r="J56" s="11" t="n">
        <v>1481.13</v>
      </c>
      <c r="K56" s="23" t="n">
        <v>493629</v>
      </c>
      <c r="L56" s="23" t="n">
        <v>492769</v>
      </c>
    </row>
    <row r="57" ht="20" customHeight="1">
      <c r="A57" s="14" t="inlineStr">
        <is>
          <t>High</t>
        </is>
      </c>
      <c r="B57" s="14" t="inlineStr">
        <is>
          <t>2,000 conn (8 threads)</t>
        </is>
      </c>
      <c r="C57" s="20" t="inlineStr">
        <is>
          <t>4join</t>
        </is>
      </c>
      <c r="D57" s="16" t="n">
        <v>1746.17</v>
      </c>
      <c r="E57" s="16" t="n">
        <v>1761.4</v>
      </c>
      <c r="F57" s="22">
        <f>IF(D57&gt;0, (E57-D57)/D57, 0)</f>
        <v/>
      </c>
      <c r="G57" s="16" t="n">
        <v>492.54</v>
      </c>
      <c r="H57" s="16" t="n">
        <v>487.86</v>
      </c>
      <c r="I57" s="16" t="n">
        <v>1534.31</v>
      </c>
      <c r="J57" s="16" t="n">
        <v>1529.76</v>
      </c>
      <c r="K57" s="23" t="n">
        <v>513548</v>
      </c>
      <c r="L57" s="23" t="n">
        <v>511203</v>
      </c>
    </row>
    <row r="58" ht="20" customHeight="1">
      <c r="A58" s="9" t="inlineStr">
        <is>
          <t>Stress</t>
        </is>
      </c>
      <c r="B58" s="9" t="inlineStr">
        <is>
          <t>10,000 conn (16 threads)</t>
        </is>
      </c>
      <c r="C58" s="19" t="inlineStr">
        <is>
          <t>1table</t>
        </is>
      </c>
      <c r="D58" s="11" t="n">
        <v>15534.77</v>
      </c>
      <c r="E58" s="11" t="n">
        <v>19739.99</v>
      </c>
      <c r="F58" s="17">
        <f>IF(D58&gt;0, (E58-D58)/D58, 0)</f>
        <v/>
      </c>
      <c r="G58" s="11" t="n">
        <v>337.83</v>
      </c>
      <c r="H58" s="11" t="n">
        <v>293.89</v>
      </c>
      <c r="I58" s="11" t="n">
        <v>1220.76</v>
      </c>
      <c r="J58" s="11" t="n">
        <v>1104.9</v>
      </c>
      <c r="K58" s="23" t="n">
        <v>4898881</v>
      </c>
      <c r="L58" s="23" t="n">
        <v>4573078</v>
      </c>
    </row>
    <row r="59" ht="20" customHeight="1">
      <c r="A59" s="14" t="inlineStr">
        <is>
          <t>Stress</t>
        </is>
      </c>
      <c r="B59" s="14" t="inlineStr">
        <is>
          <t>10,000 conn (16 threads)</t>
        </is>
      </c>
      <c r="C59" s="20" t="inlineStr">
        <is>
          <t>2join</t>
        </is>
      </c>
      <c r="D59" s="16" t="n">
        <v>7494.11</v>
      </c>
      <c r="E59" s="16" t="n">
        <v>8162.08</v>
      </c>
      <c r="F59" s="17">
        <f>IF(D59&gt;0, (E59-D59)/D59, 0)</f>
        <v/>
      </c>
      <c r="G59" s="16" t="n">
        <v>459.85</v>
      </c>
      <c r="H59" s="16" t="n">
        <v>442.88</v>
      </c>
      <c r="I59" s="16" t="n">
        <v>1530.09</v>
      </c>
      <c r="J59" s="16" t="n">
        <v>1503.06</v>
      </c>
      <c r="K59" s="23" t="n">
        <v>5926837</v>
      </c>
      <c r="L59" s="23" t="n">
        <v>5839494</v>
      </c>
    </row>
    <row r="60" ht="20" customHeight="1">
      <c r="A60" s="9" t="inlineStr">
        <is>
          <t>Stress</t>
        </is>
      </c>
      <c r="B60" s="9" t="inlineStr">
        <is>
          <t>10,000 conn (16 threads)</t>
        </is>
      </c>
      <c r="C60" s="19" t="inlineStr">
        <is>
          <t>3join</t>
        </is>
      </c>
      <c r="D60" s="11" t="n">
        <v>1966.7</v>
      </c>
      <c r="E60" s="11" t="n">
        <v>1971.31</v>
      </c>
      <c r="F60" s="21">
        <f>IF(D60&gt;0, (E60-D60)/D60, 0)</f>
        <v/>
      </c>
      <c r="G60" s="11" t="n">
        <v>721.05</v>
      </c>
      <c r="H60" s="11" t="n">
        <v>722.13</v>
      </c>
      <c r="I60" s="11" t="n">
        <v>1781.94</v>
      </c>
      <c r="J60" s="11" t="n">
        <v>1781.92</v>
      </c>
      <c r="K60" s="23" t="n">
        <v>5158355</v>
      </c>
      <c r="L60" s="23" t="n">
        <v>5175758</v>
      </c>
    </row>
    <row r="61" ht="20" customHeight="1">
      <c r="A61" s="14" t="inlineStr">
        <is>
          <t>Stress</t>
        </is>
      </c>
      <c r="B61" s="14" t="inlineStr">
        <is>
          <t>10,000 conn (16 threads)</t>
        </is>
      </c>
      <c r="C61" s="20" t="inlineStr">
        <is>
          <t>4join</t>
        </is>
      </c>
      <c r="D61" s="16" t="n">
        <v>1696.66</v>
      </c>
      <c r="E61" s="16" t="n">
        <v>1743.66</v>
      </c>
      <c r="F61" s="17">
        <f>IF(D61&gt;0, (E61-D61)/D61, 0)</f>
        <v/>
      </c>
      <c r="G61" s="16" t="n">
        <v>732.3099999999999</v>
      </c>
      <c r="H61" s="16" t="n">
        <v>741.9</v>
      </c>
      <c r="I61" s="16" t="n">
        <v>1788.41</v>
      </c>
      <c r="J61" s="16" t="n">
        <v>1792.58</v>
      </c>
      <c r="K61" s="23" t="n">
        <v>4762185</v>
      </c>
      <c r="L61" s="23" t="n">
        <v>4903836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9" t="inlineStr">
        <is>
          <t>1table</t>
        </is>
      </c>
      <c r="D78" s="11" t="n">
        <v>9833.5</v>
      </c>
      <c r="E78" s="11" t="n">
        <v>12905.17</v>
      </c>
      <c r="F78" s="17">
        <f>IF(D78&gt;0, (E78-D78)/D78, 0)</f>
        <v/>
      </c>
      <c r="G78" s="11" t="n">
        <v>2.81</v>
      </c>
      <c r="H78" s="11" t="n">
        <v>1.74</v>
      </c>
      <c r="I78" s="11" t="n">
        <v>4.21</v>
      </c>
      <c r="J78" s="11" t="n">
        <v>3.29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20" t="inlineStr">
        <is>
          <t>2table</t>
        </is>
      </c>
      <c r="D79" s="16" t="n">
        <v>5134.47</v>
      </c>
      <c r="E79" s="16" t="n">
        <v>6051.09</v>
      </c>
      <c r="F79" s="17">
        <f>IF(D79&gt;0, (E79-D79)/D79, 0)</f>
        <v/>
      </c>
      <c r="G79" s="16" t="n">
        <v>4.04</v>
      </c>
      <c r="H79" s="16" t="n">
        <v>3.46</v>
      </c>
      <c r="I79" s="16" t="n">
        <v>6.68</v>
      </c>
      <c r="J79" s="16" t="n">
        <v>5.43</v>
      </c>
      <c r="K79" s="18" t="n">
        <v>0</v>
      </c>
      <c r="L79" s="18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9" t="inlineStr">
        <is>
          <t>3table</t>
        </is>
      </c>
      <c r="D80" s="11" t="n">
        <v>4010.5</v>
      </c>
      <c r="E80" s="11" t="n">
        <v>4555.75</v>
      </c>
      <c r="F80" s="17">
        <f>IF(D80&gt;0, (E80-D80)/D80, 0)</f>
        <v/>
      </c>
      <c r="G80" s="11" t="n">
        <v>5.13</v>
      </c>
      <c r="H80" s="11" t="n">
        <v>4.97</v>
      </c>
      <c r="I80" s="11" t="n">
        <v>8.119999999999999</v>
      </c>
      <c r="J80" s="11" t="n">
        <v>7.04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20" t="inlineStr">
        <is>
          <t>4table</t>
        </is>
      </c>
      <c r="D81" s="16" t="n">
        <v>2767.17</v>
      </c>
      <c r="E81" s="16" t="n">
        <v>3019.23</v>
      </c>
      <c r="F81" s="17">
        <f>IF(D81&gt;0, (E81-D81)/D81, 0)</f>
        <v/>
      </c>
      <c r="G81" s="16" t="n">
        <v>7.38</v>
      </c>
      <c r="H81" s="16" t="n">
        <v>6.8</v>
      </c>
      <c r="I81" s="16" t="n">
        <v>11.11</v>
      </c>
      <c r="J81" s="16" t="n">
        <v>10.17</v>
      </c>
      <c r="K81" s="18" t="n">
        <v>0</v>
      </c>
      <c r="L81" s="18" t="n">
        <v>0</v>
      </c>
    </row>
    <row r="82" ht="20" customHeight="1">
      <c r="A82" s="9" t="inlineStr">
        <is>
          <t>Small</t>
        </is>
      </c>
      <c r="B82" s="9" t="inlineStr">
        <is>
          <t>100 conn (4 threads)</t>
        </is>
      </c>
      <c r="C82" s="19" t="inlineStr">
        <is>
          <t>1table</t>
        </is>
      </c>
      <c r="D82" s="11" t="n">
        <v>8021.8</v>
      </c>
      <c r="E82" s="11" t="n">
        <v>9174.700000000001</v>
      </c>
      <c r="F82" s="17">
        <f>IF(D82&gt;0, (E82-D82)/D82, 0)</f>
        <v/>
      </c>
      <c r="G82" s="11" t="n">
        <v>35.71</v>
      </c>
      <c r="H82" s="11" t="n">
        <v>36.19</v>
      </c>
      <c r="I82" s="11" t="n">
        <v>161.61</v>
      </c>
      <c r="J82" s="11" t="n">
        <v>165.33</v>
      </c>
      <c r="K82" s="13" t="n">
        <v>0</v>
      </c>
      <c r="L82" s="13" t="n">
        <v>0</v>
      </c>
    </row>
    <row r="83" ht="20" customHeight="1">
      <c r="A83" s="14" t="inlineStr">
        <is>
          <t>Small</t>
        </is>
      </c>
      <c r="B83" s="14" t="inlineStr">
        <is>
          <t>100 conn (4 threads)</t>
        </is>
      </c>
      <c r="C83" s="20" t="inlineStr">
        <is>
          <t>2table</t>
        </is>
      </c>
      <c r="D83" s="16" t="n">
        <v>5094.64</v>
      </c>
      <c r="E83" s="16" t="n">
        <v>5548.59</v>
      </c>
      <c r="F83" s="17">
        <f>IF(D83&gt;0, (E83-D83)/D83, 0)</f>
        <v/>
      </c>
      <c r="G83" s="16" t="n">
        <v>29.08</v>
      </c>
      <c r="H83" s="16" t="n">
        <v>29.09</v>
      </c>
      <c r="I83" s="16" t="n">
        <v>105.09</v>
      </c>
      <c r="J83" s="16" t="n">
        <v>110.96</v>
      </c>
      <c r="K83" s="18" t="n">
        <v>0</v>
      </c>
      <c r="L83" s="18" t="n">
        <v>0</v>
      </c>
    </row>
    <row r="84" ht="20" customHeight="1">
      <c r="A84" s="9" t="inlineStr">
        <is>
          <t>Small</t>
        </is>
      </c>
      <c r="B84" s="9" t="inlineStr">
        <is>
          <t>100 conn (4 threads)</t>
        </is>
      </c>
      <c r="C84" s="19" t="inlineStr">
        <is>
          <t>3table</t>
        </is>
      </c>
      <c r="D84" s="11" t="n">
        <v>4174.7</v>
      </c>
      <c r="E84" s="11" t="n">
        <v>4450.67</v>
      </c>
      <c r="F84" s="17">
        <f>IF(D84&gt;0, (E84-D84)/D84, 0)</f>
        <v/>
      </c>
      <c r="G84" s="11" t="n">
        <v>29.86</v>
      </c>
      <c r="H84" s="11" t="n">
        <v>29.71</v>
      </c>
      <c r="I84" s="11" t="n">
        <v>88.54000000000001</v>
      </c>
      <c r="J84" s="11" t="n">
        <v>94.8</v>
      </c>
      <c r="K84" s="13" t="n">
        <v>0</v>
      </c>
      <c r="L84" s="13" t="n">
        <v>0</v>
      </c>
    </row>
    <row r="85" ht="20" customHeight="1">
      <c r="A85" s="14" t="inlineStr">
        <is>
          <t>Small</t>
        </is>
      </c>
      <c r="B85" s="14" t="inlineStr">
        <is>
          <t>100 conn (4 threads)</t>
        </is>
      </c>
      <c r="C85" s="20" t="inlineStr">
        <is>
          <t>4table</t>
        </is>
      </c>
      <c r="D85" s="16" t="n">
        <v>2819.71</v>
      </c>
      <c r="E85" s="16" t="n">
        <v>2926.63</v>
      </c>
      <c r="F85" s="17">
        <f>IF(D85&gt;0, (E85-D85)/D85, 0)</f>
        <v/>
      </c>
      <c r="G85" s="16" t="n">
        <v>39.13</v>
      </c>
      <c r="H85" s="16" t="n">
        <v>38.59</v>
      </c>
      <c r="I85" s="16" t="n">
        <v>93.86</v>
      </c>
      <c r="J85" s="16" t="n">
        <v>97.75</v>
      </c>
      <c r="K85" s="18" t="n">
        <v>0</v>
      </c>
      <c r="L85" s="18" t="n">
        <v>0</v>
      </c>
    </row>
    <row r="86" ht="20" customHeight="1">
      <c r="A86" s="9" t="inlineStr">
        <is>
          <t>General</t>
        </is>
      </c>
      <c r="B86" s="9" t="inlineStr">
        <is>
          <t>500 conn (8 threads)</t>
        </is>
      </c>
      <c r="C86" s="19" t="inlineStr">
        <is>
          <t>1table</t>
        </is>
      </c>
      <c r="D86" s="11" t="n">
        <v>7863.88</v>
      </c>
      <c r="E86" s="11" t="n">
        <v>9055.059999999999</v>
      </c>
      <c r="F86" s="17">
        <f>IF(D86&gt;0, (E86-D86)/D86, 0)</f>
        <v/>
      </c>
      <c r="G86" s="11" t="n">
        <v>123.6</v>
      </c>
      <c r="H86" s="11" t="n">
        <v>65.36</v>
      </c>
      <c r="I86" s="11" t="n">
        <v>524.22</v>
      </c>
      <c r="J86" s="11" t="n">
        <v>184.13</v>
      </c>
      <c r="K86" s="23" t="n">
        <v>2728</v>
      </c>
      <c r="L86" s="13" t="n">
        <v>0</v>
      </c>
    </row>
    <row r="87" ht="20" customHeight="1">
      <c r="A87" s="14" t="inlineStr">
        <is>
          <t>General</t>
        </is>
      </c>
      <c r="B87" s="14" t="inlineStr">
        <is>
          <t>500 conn (8 threads)</t>
        </is>
      </c>
      <c r="C87" s="20" t="inlineStr">
        <is>
          <t>2table</t>
        </is>
      </c>
      <c r="D87" s="16" t="n">
        <v>5006.91</v>
      </c>
      <c r="E87" s="16" t="n">
        <v>5461.98</v>
      </c>
      <c r="F87" s="17">
        <f>IF(D87&gt;0, (E87-D87)/D87, 0)</f>
        <v/>
      </c>
      <c r="G87" s="16" t="n">
        <v>161.72</v>
      </c>
      <c r="H87" s="16" t="n">
        <v>101.1</v>
      </c>
      <c r="I87" s="16" t="n">
        <v>662.75</v>
      </c>
      <c r="J87" s="16" t="n">
        <v>259.71</v>
      </c>
      <c r="K87" s="23" t="n">
        <v>10939</v>
      </c>
      <c r="L87" s="18" t="n">
        <v>0</v>
      </c>
    </row>
    <row r="88" ht="20" customHeight="1">
      <c r="A88" s="9" t="inlineStr">
        <is>
          <t>General</t>
        </is>
      </c>
      <c r="B88" s="9" t="inlineStr">
        <is>
          <t>500 conn (8 threads)</t>
        </is>
      </c>
      <c r="C88" s="19" t="inlineStr">
        <is>
          <t>3table</t>
        </is>
      </c>
      <c r="D88" s="11" t="n">
        <v>4097.01</v>
      </c>
      <c r="E88" s="11" t="n">
        <v>4379.97</v>
      </c>
      <c r="F88" s="17">
        <f>IF(D88&gt;0, (E88-D88)/D88, 0)</f>
        <v/>
      </c>
      <c r="G88" s="11" t="n">
        <v>179.32</v>
      </c>
      <c r="H88" s="11" t="n">
        <v>125.06</v>
      </c>
      <c r="I88" s="11" t="n">
        <v>703.75</v>
      </c>
      <c r="J88" s="11" t="n">
        <v>316.69</v>
      </c>
      <c r="K88" s="23" t="n">
        <v>15303</v>
      </c>
      <c r="L88" s="13" t="n">
        <v>0</v>
      </c>
    </row>
    <row r="89" ht="20" customHeight="1">
      <c r="A89" s="14" t="inlineStr">
        <is>
          <t>General</t>
        </is>
      </c>
      <c r="B89" s="14" t="inlineStr">
        <is>
          <t>500 conn (8 threads)</t>
        </is>
      </c>
      <c r="C89" s="20" t="inlineStr">
        <is>
          <t>4table</t>
        </is>
      </c>
      <c r="D89" s="16" t="n">
        <v>2801.2</v>
      </c>
      <c r="E89" s="16" t="n">
        <v>2887.66</v>
      </c>
      <c r="F89" s="17">
        <f>IF(D89&gt;0, (E89-D89)/D89, 0)</f>
        <v/>
      </c>
      <c r="G89" s="16" t="n">
        <v>214.1</v>
      </c>
      <c r="H89" s="16" t="n">
        <v>188.81</v>
      </c>
      <c r="I89" s="16" t="n">
        <v>771.0700000000001</v>
      </c>
      <c r="J89" s="16" t="n">
        <v>474.44</v>
      </c>
      <c r="K89" s="23" t="n">
        <v>24329</v>
      </c>
      <c r="L89" s="23" t="n">
        <v>1</v>
      </c>
    </row>
    <row r="90" ht="20" customHeight="1">
      <c r="A90" s="9" t="inlineStr">
        <is>
          <t>High</t>
        </is>
      </c>
      <c r="B90" s="9" t="inlineStr">
        <is>
          <t>2,000 conn (8 threads)</t>
        </is>
      </c>
      <c r="C90" s="19" t="inlineStr">
        <is>
          <t>1table</t>
        </is>
      </c>
      <c r="D90" s="11" t="n">
        <v>7817.09</v>
      </c>
      <c r="E90" s="11" t="n">
        <v>8987.5</v>
      </c>
      <c r="F90" s="17">
        <f>IF(D90&gt;0, (E90-D90)/D90, 0)</f>
        <v/>
      </c>
      <c r="G90" s="11" t="n">
        <v>240.46</v>
      </c>
      <c r="H90" s="11" t="n">
        <v>256.57</v>
      </c>
      <c r="I90" s="11" t="n">
        <v>903.79</v>
      </c>
      <c r="J90" s="11" t="n">
        <v>697.41</v>
      </c>
      <c r="K90" s="23" t="n">
        <v>321629</v>
      </c>
      <c r="L90" s="23" t="n">
        <v>1794</v>
      </c>
    </row>
    <row r="91" ht="20" customHeight="1">
      <c r="A91" s="14" t="inlineStr">
        <is>
          <t>High</t>
        </is>
      </c>
      <c r="B91" s="14" t="inlineStr">
        <is>
          <t>2,000 conn (8 threads)</t>
        </is>
      </c>
      <c r="C91" s="20" t="inlineStr">
        <is>
          <t>2table</t>
        </is>
      </c>
      <c r="D91" s="16" t="n">
        <v>4966.76</v>
      </c>
      <c r="E91" s="16" t="n">
        <v>5420.53</v>
      </c>
      <c r="F91" s="17">
        <f>IF(D91&gt;0, (E91-D91)/D91, 0)</f>
        <v/>
      </c>
      <c r="G91" s="16" t="n">
        <v>306.27</v>
      </c>
      <c r="H91" s="16" t="n">
        <v>406.82</v>
      </c>
      <c r="I91" s="16" t="n">
        <v>1088.88</v>
      </c>
      <c r="J91" s="16" t="n">
        <v>1085.96</v>
      </c>
      <c r="K91" s="23" t="n">
        <v>344562</v>
      </c>
      <c r="L91" s="23" t="n">
        <v>44483</v>
      </c>
    </row>
    <row r="92" ht="20" customHeight="1">
      <c r="A92" s="9" t="inlineStr">
        <is>
          <t>High</t>
        </is>
      </c>
      <c r="B92" s="9" t="inlineStr">
        <is>
          <t>2,000 conn (8 threads)</t>
        </is>
      </c>
      <c r="C92" s="19" t="inlineStr">
        <is>
          <t>3table</t>
        </is>
      </c>
      <c r="D92" s="11" t="n">
        <v>4073.84</v>
      </c>
      <c r="E92" s="11" t="n">
        <v>4365.94</v>
      </c>
      <c r="F92" s="17">
        <f>IF(D92&gt;0, (E92-D92)/D92, 0)</f>
        <v/>
      </c>
      <c r="G92" s="11" t="n">
        <v>340.02</v>
      </c>
      <c r="H92" s="11" t="n">
        <v>479.93</v>
      </c>
      <c r="I92" s="11" t="n">
        <v>1182.01</v>
      </c>
      <c r="J92" s="11" t="n">
        <v>1256.59</v>
      </c>
      <c r="K92" s="23" t="n">
        <v>372325</v>
      </c>
      <c r="L92" s="23" t="n">
        <v>108868</v>
      </c>
    </row>
    <row r="93" ht="20" customHeight="1">
      <c r="A93" s="14" t="inlineStr">
        <is>
          <t>High</t>
        </is>
      </c>
      <c r="B93" s="14" t="inlineStr">
        <is>
          <t>2,000 conn (8 threads)</t>
        </is>
      </c>
      <c r="C93" s="20" t="inlineStr">
        <is>
          <t>4table</t>
        </is>
      </c>
      <c r="D93" s="16" t="n">
        <v>2780.53</v>
      </c>
      <c r="E93" s="16" t="n">
        <v>2879.32</v>
      </c>
      <c r="F93" s="17">
        <f>IF(D93&gt;0, (E93-D93)/D93, 0)</f>
        <v/>
      </c>
      <c r="G93" s="16" t="n">
        <v>401.59</v>
      </c>
      <c r="H93" s="16" t="n">
        <v>613.77</v>
      </c>
      <c r="I93" s="16" t="n">
        <v>1317.18</v>
      </c>
      <c r="J93" s="16" t="n">
        <v>1536.28</v>
      </c>
      <c r="K93" s="23" t="n">
        <v>433562</v>
      </c>
      <c r="L93" s="23" t="n">
        <v>346282</v>
      </c>
    </row>
    <row r="94" ht="20" customHeight="1">
      <c r="A94" s="9" t="inlineStr">
        <is>
          <t>Stress</t>
        </is>
      </c>
      <c r="B94" s="9" t="inlineStr">
        <is>
          <t>10,000 conn (16 threads)</t>
        </is>
      </c>
      <c r="C94" s="19" t="inlineStr">
        <is>
          <t>1table</t>
        </is>
      </c>
      <c r="D94" s="11" t="n">
        <v>7751.62</v>
      </c>
      <c r="E94" s="11" t="n">
        <v>8868.889999999999</v>
      </c>
      <c r="F94" s="17">
        <f>IF(D94&gt;0, (E94-D94)/D94, 0)</f>
        <v/>
      </c>
      <c r="G94" s="11" t="n">
        <v>454.37</v>
      </c>
      <c r="H94" s="11" t="n">
        <v>722.99</v>
      </c>
      <c r="I94" s="11" t="n">
        <v>1523.2</v>
      </c>
      <c r="J94" s="11" t="n">
        <v>1752.74</v>
      </c>
      <c r="K94" s="23" t="n">
        <v>5944646</v>
      </c>
      <c r="L94" s="23" t="n">
        <v>8887305</v>
      </c>
    </row>
    <row r="95" ht="20" customHeight="1">
      <c r="A95" s="14" t="inlineStr">
        <is>
          <t>Stress</t>
        </is>
      </c>
      <c r="B95" s="14" t="inlineStr">
        <is>
          <t>10,000 conn (16 threads)</t>
        </is>
      </c>
      <c r="C95" s="20" t="inlineStr">
        <is>
          <t>2table</t>
        </is>
      </c>
      <c r="D95" s="16" t="n">
        <v>4903.47</v>
      </c>
      <c r="E95" s="16" t="n">
        <v>5333.35</v>
      </c>
      <c r="F95" s="17">
        <f>IF(D95&gt;0, (E95-D95)/D95, 0)</f>
        <v/>
      </c>
      <c r="G95" s="16" t="n">
        <v>553.92</v>
      </c>
      <c r="H95" s="16" t="n">
        <v>834.35</v>
      </c>
      <c r="I95" s="16" t="n">
        <v>1653.43</v>
      </c>
      <c r="J95" s="16" t="n">
        <v>1830.25</v>
      </c>
      <c r="K95" s="23" t="n">
        <v>6644766</v>
      </c>
      <c r="L95" s="23" t="n">
        <v>10919810</v>
      </c>
    </row>
    <row r="96" ht="20" customHeight="1">
      <c r="A96" s="9" t="inlineStr">
        <is>
          <t>Stress</t>
        </is>
      </c>
      <c r="B96" s="9" t="inlineStr">
        <is>
          <t>10,000 conn (16 threads)</t>
        </is>
      </c>
      <c r="C96" s="19" t="inlineStr">
        <is>
          <t>3table</t>
        </is>
      </c>
      <c r="D96" s="11" t="n">
        <v>3984.6</v>
      </c>
      <c r="E96" s="11" t="n">
        <v>4287.1</v>
      </c>
      <c r="F96" s="17">
        <f>IF(D96&gt;0, (E96-D96)/D96, 0)</f>
        <v/>
      </c>
      <c r="G96" s="11" t="n">
        <v>592.88</v>
      </c>
      <c r="H96" s="11" t="n">
        <v>870.89</v>
      </c>
      <c r="I96" s="11" t="n">
        <v>1691.32</v>
      </c>
      <c r="J96" s="11" t="n">
        <v>1848.52</v>
      </c>
      <c r="K96" s="23" t="n">
        <v>6434479</v>
      </c>
      <c r="L96" s="23" t="n">
        <v>10843807</v>
      </c>
    </row>
    <row r="97" ht="20" customHeight="1">
      <c r="A97" s="14" t="inlineStr">
        <is>
          <t>Stress</t>
        </is>
      </c>
      <c r="B97" s="14" t="inlineStr">
        <is>
          <t>10,000 conn (16 threads)</t>
        </is>
      </c>
      <c r="C97" s="20" t="inlineStr">
        <is>
          <t>4table</t>
        </is>
      </c>
      <c r="D97" s="16" t="n">
        <v>2713.64</v>
      </c>
      <c r="E97" s="16" t="n">
        <v>2825.3</v>
      </c>
      <c r="F97" s="17">
        <f>IF(D97&gt;0, (E97-D97)/D97, 0)</f>
        <v/>
      </c>
      <c r="G97" s="16" t="n">
        <v>650</v>
      </c>
      <c r="H97" s="16" t="n">
        <v>924.86</v>
      </c>
      <c r="I97" s="16" t="n">
        <v>1738.33</v>
      </c>
      <c r="J97" s="16" t="n">
        <v>1870.71</v>
      </c>
      <c r="K97" s="23" t="n">
        <v>5668213</v>
      </c>
      <c r="L97" s="23" t="n">
        <v>9616149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JAVA (SPRING BOOT) - DETAILED BENCHMARK SPECIFICATION</t>
        </is>
      </c>
    </row>
    <row r="2" ht="18" customHeight="1">
      <c r="A2" s="2" t="inlineStr">
        <is>
          <t>Runtime: Java 17 (HikariCP / JDBC)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9" t="inlineStr">
        <is>
          <t>1table</t>
        </is>
      </c>
      <c r="D6" s="11" t="n">
        <v>9105.18</v>
      </c>
      <c r="E6" s="11" t="n">
        <v>11762.53</v>
      </c>
      <c r="F6" s="17">
        <f>IF(D6&gt;0, (E6-D6)/D6, 0)</f>
        <v/>
      </c>
      <c r="G6" s="11" t="n">
        <v>2.19</v>
      </c>
      <c r="H6" s="11" t="n">
        <v>1.68</v>
      </c>
      <c r="I6" s="11" t="n">
        <v>3.38</v>
      </c>
      <c r="J6" s="11" t="n">
        <v>2.67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0" t="inlineStr">
        <is>
          <t>2join</t>
        </is>
      </c>
      <c r="D7" s="16" t="n">
        <v>6306.58</v>
      </c>
      <c r="E7" s="16" t="n">
        <v>7287.86</v>
      </c>
      <c r="F7" s="17">
        <f>IF(D7&gt;0, (E7-D7)/D7, 0)</f>
        <v/>
      </c>
      <c r="G7" s="16" t="n">
        <v>3.15</v>
      </c>
      <c r="H7" s="16" t="n">
        <v>2.72</v>
      </c>
      <c r="I7" s="16" t="n">
        <v>4.83</v>
      </c>
      <c r="J7" s="16" t="n">
        <v>4.25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9" t="inlineStr">
        <is>
          <t>3join</t>
        </is>
      </c>
      <c r="D8" s="11" t="n">
        <v>330.36</v>
      </c>
      <c r="E8" s="11" t="n">
        <v>317.36</v>
      </c>
      <c r="F8" s="12">
        <f>IF(D8&gt;0, (E8-D8)/D8, 0)</f>
        <v/>
      </c>
      <c r="G8" s="11" t="n">
        <v>60.53</v>
      </c>
      <c r="H8" s="11" t="n">
        <v>62.94</v>
      </c>
      <c r="I8" s="11" t="n">
        <v>98.79000000000001</v>
      </c>
      <c r="J8" s="11" t="n">
        <v>104.32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0" t="inlineStr">
        <is>
          <t>4join</t>
        </is>
      </c>
      <c r="D9" s="16" t="n">
        <v>78.27</v>
      </c>
      <c r="E9" s="16" t="n">
        <v>78.75</v>
      </c>
      <c r="F9" s="22">
        <f>IF(D9&gt;0, (E9-D9)/D9, 0)</f>
        <v/>
      </c>
      <c r="G9" s="16" t="n">
        <v>254.37</v>
      </c>
      <c r="H9" s="16" t="n">
        <v>252.72</v>
      </c>
      <c r="I9" s="16" t="n">
        <v>410.84</v>
      </c>
      <c r="J9" s="16" t="n">
        <v>411.79</v>
      </c>
      <c r="K9" s="18" t="n">
        <v>0</v>
      </c>
      <c r="L9" s="18" t="n">
        <v>0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19" t="inlineStr">
        <is>
          <t>1table</t>
        </is>
      </c>
      <c r="D10" s="11" t="n">
        <v>12186.71</v>
      </c>
      <c r="E10" s="11" t="n">
        <v>16196.58</v>
      </c>
      <c r="F10" s="17">
        <f>IF(D10&gt;0, (E10-D10)/D10, 0)</f>
        <v/>
      </c>
      <c r="G10" s="11" t="n">
        <v>8.69</v>
      </c>
      <c r="H10" s="11" t="n">
        <v>6.33</v>
      </c>
      <c r="I10" s="11" t="n">
        <v>16.24</v>
      </c>
      <c r="J10" s="11" t="n">
        <v>11.95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0" t="inlineStr">
        <is>
          <t>2join</t>
        </is>
      </c>
      <c r="D11" s="16" t="n">
        <v>7624.33</v>
      </c>
      <c r="E11" s="16" t="n">
        <v>8432.75</v>
      </c>
      <c r="F11" s="17">
        <f>IF(D11&gt;0, (E11-D11)/D11, 0)</f>
        <v/>
      </c>
      <c r="G11" s="16" t="n">
        <v>13.19</v>
      </c>
      <c r="H11" s="16" t="n">
        <v>11.89</v>
      </c>
      <c r="I11" s="16" t="n">
        <v>23.21</v>
      </c>
      <c r="J11" s="16" t="n">
        <v>20.11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19" t="inlineStr">
        <is>
          <t>3join</t>
        </is>
      </c>
      <c r="D12" s="11" t="n">
        <v>321.48</v>
      </c>
      <c r="E12" s="11" t="n">
        <v>310.81</v>
      </c>
      <c r="F12" s="12">
        <f>IF(D12&gt;0, (E12-D12)/D12, 0)</f>
        <v/>
      </c>
      <c r="G12" s="11" t="n">
        <v>310.05</v>
      </c>
      <c r="H12" s="11" t="n">
        <v>320.73</v>
      </c>
      <c r="I12" s="11" t="n">
        <v>395.14</v>
      </c>
      <c r="J12" s="11" t="n">
        <v>378.53</v>
      </c>
      <c r="K12" s="13" t="n">
        <v>0</v>
      </c>
      <c r="L12" s="13" t="n">
        <v>0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0" t="inlineStr">
        <is>
          <t>4join</t>
        </is>
      </c>
      <c r="D13" s="16" t="n">
        <v>73.68000000000001</v>
      </c>
      <c r="E13" s="16" t="n">
        <v>73.62</v>
      </c>
      <c r="F13" s="22">
        <f>IF(D13&gt;0, (E13-D13)/D13, 0)</f>
        <v/>
      </c>
      <c r="G13" s="16" t="n">
        <v>1340.58</v>
      </c>
      <c r="H13" s="16" t="n">
        <v>1342.43</v>
      </c>
      <c r="I13" s="16" t="n">
        <v>1591.08</v>
      </c>
      <c r="J13" s="16" t="n">
        <v>1573.54</v>
      </c>
      <c r="K13" s="23" t="n">
        <v>42</v>
      </c>
      <c r="L13" s="23" t="n">
        <v>60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19" t="inlineStr">
        <is>
          <t>1table</t>
        </is>
      </c>
      <c r="D14" s="11" t="n">
        <v>11972.58</v>
      </c>
      <c r="E14" s="11" t="n">
        <v>16300.78</v>
      </c>
      <c r="F14" s="17">
        <f>IF(D14&gt;0, (E14-D14)/D14, 0)</f>
        <v/>
      </c>
      <c r="G14" s="11" t="n">
        <v>44.1</v>
      </c>
      <c r="H14" s="11" t="n">
        <v>32.08</v>
      </c>
      <c r="I14" s="11" t="n">
        <v>77.06</v>
      </c>
      <c r="J14" s="11" t="n">
        <v>55.31</v>
      </c>
      <c r="K14" s="13" t="n">
        <v>0</v>
      </c>
      <c r="L14" s="13" t="n">
        <v>0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0" t="inlineStr">
        <is>
          <t>2join</t>
        </is>
      </c>
      <c r="D15" s="16" t="n">
        <v>7394.08</v>
      </c>
      <c r="E15" s="16" t="n">
        <v>8179.94</v>
      </c>
      <c r="F15" s="17">
        <f>IF(D15&gt;0, (E15-D15)/D15, 0)</f>
        <v/>
      </c>
      <c r="G15" s="16" t="n">
        <v>67.48</v>
      </c>
      <c r="H15" s="16" t="n">
        <v>60.67</v>
      </c>
      <c r="I15" s="16" t="n">
        <v>112.27</v>
      </c>
      <c r="J15" s="16" t="n">
        <v>99.5</v>
      </c>
      <c r="K15" s="18" t="n">
        <v>0</v>
      </c>
      <c r="L15" s="18" t="n">
        <v>0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19" t="inlineStr">
        <is>
          <t>3join</t>
        </is>
      </c>
      <c r="D16" s="11" t="n">
        <v>311.98</v>
      </c>
      <c r="E16" s="11" t="n">
        <v>307.2</v>
      </c>
      <c r="F16" s="12">
        <f>IF(D16&gt;0, (E16-D16)/D16, 0)</f>
        <v/>
      </c>
      <c r="G16" s="11" t="n">
        <v>1557.6</v>
      </c>
      <c r="H16" s="11" t="n">
        <v>1577.32</v>
      </c>
      <c r="I16" s="11" t="n">
        <v>1853.9</v>
      </c>
      <c r="J16" s="11" t="n">
        <v>1912.77</v>
      </c>
      <c r="K16" s="23" t="n">
        <v>6778</v>
      </c>
      <c r="L16" s="23" t="n">
        <v>4910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0" t="inlineStr">
        <is>
          <t>4join</t>
        </is>
      </c>
      <c r="D17" s="16" t="n">
        <v>68.31999999999999</v>
      </c>
      <c r="E17" s="16" t="n">
        <v>68.34</v>
      </c>
      <c r="F17" s="22">
        <f>IF(D17&gt;0, (E17-D17)/D17, 0)</f>
        <v/>
      </c>
      <c r="G17" s="16" t="n">
        <v>1368.01</v>
      </c>
      <c r="H17" s="16" t="n">
        <v>1371.56</v>
      </c>
      <c r="I17" s="16" t="n">
        <v>1569.07</v>
      </c>
      <c r="J17" s="16" t="n">
        <v>1541.31</v>
      </c>
      <c r="K17" s="23" t="n">
        <v>81920</v>
      </c>
      <c r="L17" s="23" t="n">
        <v>81890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19" t="inlineStr">
        <is>
          <t>1table</t>
        </is>
      </c>
      <c r="D18" s="11" t="n">
        <v>12535.68</v>
      </c>
      <c r="E18" s="11" t="n">
        <v>16197.63</v>
      </c>
      <c r="F18" s="17">
        <f>IF(D18&gt;0, (E18-D18)/D18, 0)</f>
        <v/>
      </c>
      <c r="G18" s="11" t="n">
        <v>160.73</v>
      </c>
      <c r="H18" s="11" t="n">
        <v>123.33</v>
      </c>
      <c r="I18" s="11" t="n">
        <v>216.78</v>
      </c>
      <c r="J18" s="11" t="n">
        <v>163.84</v>
      </c>
      <c r="K18" s="23" t="n">
        <v>185</v>
      </c>
      <c r="L18" s="23" t="n">
        <v>1180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0" t="inlineStr">
        <is>
          <t>2join</t>
        </is>
      </c>
      <c r="D19" s="16" t="n">
        <v>7302.98</v>
      </c>
      <c r="E19" s="16" t="n">
        <v>8175.24</v>
      </c>
      <c r="F19" s="17">
        <f>IF(D19&gt;0, (E19-D19)/D19, 0)</f>
        <v/>
      </c>
      <c r="G19" s="16" t="n">
        <v>273.84</v>
      </c>
      <c r="H19" s="16" t="n">
        <v>243.62</v>
      </c>
      <c r="I19" s="16" t="n">
        <v>332.94</v>
      </c>
      <c r="J19" s="16" t="n">
        <v>289.39</v>
      </c>
      <c r="K19" s="23" t="n">
        <v>204</v>
      </c>
      <c r="L19" s="23" t="n">
        <v>195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19" t="inlineStr">
        <is>
          <t>3join</t>
        </is>
      </c>
      <c r="D20" s="11" t="n">
        <v>300.87</v>
      </c>
      <c r="E20" s="11" t="n">
        <v>296.51</v>
      </c>
      <c r="F20" s="12">
        <f>IF(D20&gt;0, (E20-D20)/D20, 0)</f>
        <v/>
      </c>
      <c r="G20" s="11" t="n">
        <v>663.78</v>
      </c>
      <c r="H20" s="11" t="n">
        <v>653.84</v>
      </c>
      <c r="I20" s="11" t="n">
        <v>1006.12</v>
      </c>
      <c r="J20" s="11" t="n">
        <v>1002.5</v>
      </c>
      <c r="K20" s="23" t="n">
        <v>705204</v>
      </c>
      <c r="L20" s="23" t="n">
        <v>692654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0" t="inlineStr">
        <is>
          <t>4join</t>
        </is>
      </c>
      <c r="D21" s="16" t="n">
        <v>59.92</v>
      </c>
      <c r="E21" s="16" t="n">
        <v>59.61</v>
      </c>
      <c r="F21" s="22">
        <f>IF(D21&gt;0, (E21-D21)/D21, 0)</f>
        <v/>
      </c>
      <c r="G21" s="16" t="n">
        <v>1593.69</v>
      </c>
      <c r="H21" s="16" t="n">
        <v>1342.73</v>
      </c>
      <c r="I21" s="16" t="n">
        <v>1917.08</v>
      </c>
      <c r="J21" s="16" t="n">
        <v>1560.07</v>
      </c>
      <c r="K21" s="23" t="n">
        <v>143697</v>
      </c>
      <c r="L21" s="23" t="n">
        <v>142906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19" t="inlineStr">
        <is>
          <t>1table</t>
        </is>
      </c>
      <c r="D22" s="11" t="n">
        <v>12098.14</v>
      </c>
      <c r="E22" s="11" t="n">
        <v>16113.97</v>
      </c>
      <c r="F22" s="17">
        <f>IF(D22&gt;0, (E22-D22)/D22, 0)</f>
        <v/>
      </c>
      <c r="G22" s="11" t="n">
        <v>673.35</v>
      </c>
      <c r="H22" s="11" t="n">
        <v>492.78</v>
      </c>
      <c r="I22" s="11" t="n">
        <v>782.38</v>
      </c>
      <c r="J22" s="11" t="n">
        <v>564.99</v>
      </c>
      <c r="K22" s="23" t="n">
        <v>198453</v>
      </c>
      <c r="L22" s="23" t="n">
        <v>150501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0" t="inlineStr">
        <is>
          <t>2join</t>
        </is>
      </c>
      <c r="D23" s="16" t="n">
        <v>7236.7</v>
      </c>
      <c r="E23" s="16" t="n">
        <v>8113.74</v>
      </c>
      <c r="F23" s="17">
        <f>IF(D23&gt;0, (E23-D23)/D23, 0)</f>
        <v/>
      </c>
      <c r="G23" s="16" t="n">
        <v>1126.92</v>
      </c>
      <c r="H23" s="16" t="n">
        <v>1002.6</v>
      </c>
      <c r="I23" s="16" t="n">
        <v>1256.36</v>
      </c>
      <c r="J23" s="16" t="n">
        <v>1082.38</v>
      </c>
      <c r="K23" s="23" t="n">
        <v>158291</v>
      </c>
      <c r="L23" s="23" t="n">
        <v>99802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19" t="inlineStr">
        <is>
          <t>3join</t>
        </is>
      </c>
      <c r="D24" s="11" t="n">
        <v>293.92</v>
      </c>
      <c r="E24" s="11" t="n">
        <v>287.76</v>
      </c>
      <c r="F24" s="12">
        <f>IF(D24&gt;0, (E24-D24)/D24, 0)</f>
        <v/>
      </c>
      <c r="G24" s="11" t="n">
        <v>645.02</v>
      </c>
      <c r="H24" s="11" t="n">
        <v>642.92</v>
      </c>
      <c r="I24" s="11" t="n">
        <v>976.52</v>
      </c>
      <c r="J24" s="11" t="n">
        <v>984.24</v>
      </c>
      <c r="K24" s="23" t="n">
        <v>1790150</v>
      </c>
      <c r="L24" s="23" t="n">
        <v>1777629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0" t="inlineStr">
        <is>
          <t>4join</t>
        </is>
      </c>
      <c r="D25" s="16" t="n">
        <v>47.75</v>
      </c>
      <c r="E25" s="16" t="n">
        <v>48.93</v>
      </c>
      <c r="F25" s="17">
        <f>IF(D25&gt;0, (E25-D25)/D25, 0)</f>
        <v/>
      </c>
      <c r="G25" s="16" t="n">
        <v>1616.73</v>
      </c>
      <c r="H25" s="16" t="n">
        <v>1338.16</v>
      </c>
      <c r="I25" s="16" t="n">
        <v>1952.11</v>
      </c>
      <c r="J25" s="16" t="n">
        <v>1530.56</v>
      </c>
      <c r="K25" s="23" t="n">
        <v>391677</v>
      </c>
      <c r="L25" s="23" t="n">
        <v>406056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9" t="inlineStr">
        <is>
          <t>1table</t>
        </is>
      </c>
      <c r="D42" s="11" t="n">
        <v>9208.99</v>
      </c>
      <c r="E42" s="11" t="n">
        <v>11829.43</v>
      </c>
      <c r="F42" s="17">
        <f>IF(D42&gt;0, (E42-D42)/D42, 0)</f>
        <v/>
      </c>
      <c r="G42" s="11" t="n">
        <v>2.16</v>
      </c>
      <c r="H42" s="11" t="n">
        <v>1.67</v>
      </c>
      <c r="I42" s="11" t="n">
        <v>3.33</v>
      </c>
      <c r="J42" s="11" t="n">
        <v>2.67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20" t="inlineStr">
        <is>
          <t>2join</t>
        </is>
      </c>
      <c r="D43" s="16" t="n">
        <v>6205.6</v>
      </c>
      <c r="E43" s="16" t="n">
        <v>7075.41</v>
      </c>
      <c r="F43" s="17">
        <f>IF(D43&gt;0, (E43-D43)/D43, 0)</f>
        <v/>
      </c>
      <c r="G43" s="16" t="n">
        <v>3.2</v>
      </c>
      <c r="H43" s="16" t="n">
        <v>2.8</v>
      </c>
      <c r="I43" s="16" t="n">
        <v>4.89</v>
      </c>
      <c r="J43" s="16" t="n">
        <v>4.4</v>
      </c>
      <c r="K43" s="18" t="n">
        <v>0</v>
      </c>
      <c r="L43" s="18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9" t="inlineStr">
        <is>
          <t>3join</t>
        </is>
      </c>
      <c r="D44" s="11" t="n">
        <v>2017.25</v>
      </c>
      <c r="E44" s="11" t="n">
        <v>1927.11</v>
      </c>
      <c r="F44" s="12">
        <f>IF(D44&gt;0, (E44-D44)/D44, 0)</f>
        <v/>
      </c>
      <c r="G44" s="11" t="n">
        <v>9.94</v>
      </c>
      <c r="H44" s="11" t="n">
        <v>10.46</v>
      </c>
      <c r="I44" s="11" t="n">
        <v>16.68</v>
      </c>
      <c r="J44" s="11" t="n">
        <v>18.72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20" t="inlineStr">
        <is>
          <t>4join</t>
        </is>
      </c>
      <c r="D45" s="16" t="n">
        <v>1846.7</v>
      </c>
      <c r="E45" s="16" t="n">
        <v>1815.29</v>
      </c>
      <c r="F45" s="12">
        <f>IF(D45&gt;0, (E45-D45)/D45, 0)</f>
        <v/>
      </c>
      <c r="G45" s="16" t="n">
        <v>10.84</v>
      </c>
      <c r="H45" s="16" t="n">
        <v>11.05</v>
      </c>
      <c r="I45" s="16" t="n">
        <v>17.48</v>
      </c>
      <c r="J45" s="16" t="n">
        <v>18.58</v>
      </c>
      <c r="K45" s="18" t="n">
        <v>0</v>
      </c>
      <c r="L45" s="18" t="n">
        <v>0</v>
      </c>
    </row>
    <row r="46" ht="20" customHeight="1">
      <c r="A46" s="9" t="inlineStr">
        <is>
          <t>Small</t>
        </is>
      </c>
      <c r="B46" s="9" t="inlineStr">
        <is>
          <t>100 conn (4 threads)</t>
        </is>
      </c>
      <c r="C46" s="19" t="inlineStr">
        <is>
          <t>1table</t>
        </is>
      </c>
      <c r="D46" s="11" t="n">
        <v>12358.11</v>
      </c>
      <c r="E46" s="11" t="n">
        <v>16467.7</v>
      </c>
      <c r="F46" s="17">
        <f>IF(D46&gt;0, (E46-D46)/D46, 0)</f>
        <v/>
      </c>
      <c r="G46" s="11" t="n">
        <v>8.6</v>
      </c>
      <c r="H46" s="11" t="n">
        <v>6.23</v>
      </c>
      <c r="I46" s="11" t="n">
        <v>16.22</v>
      </c>
      <c r="J46" s="11" t="n">
        <v>11.8</v>
      </c>
      <c r="K46" s="13" t="n">
        <v>0</v>
      </c>
      <c r="L46" s="13" t="n">
        <v>0</v>
      </c>
    </row>
    <row r="47" ht="20" customHeight="1">
      <c r="A47" s="14" t="inlineStr">
        <is>
          <t>Small</t>
        </is>
      </c>
      <c r="B47" s="14" t="inlineStr">
        <is>
          <t>100 conn (4 threads)</t>
        </is>
      </c>
      <c r="C47" s="20" t="inlineStr">
        <is>
          <t>2join</t>
        </is>
      </c>
      <c r="D47" s="16" t="n">
        <v>7400.17</v>
      </c>
      <c r="E47" s="16" t="n">
        <v>7941.48</v>
      </c>
      <c r="F47" s="17">
        <f>IF(D47&gt;0, (E47-D47)/D47, 0)</f>
        <v/>
      </c>
      <c r="G47" s="16" t="n">
        <v>13.6</v>
      </c>
      <c r="H47" s="16" t="n">
        <v>12.63</v>
      </c>
      <c r="I47" s="16" t="n">
        <v>24.06</v>
      </c>
      <c r="J47" s="16" t="n">
        <v>21.52</v>
      </c>
      <c r="K47" s="18" t="n">
        <v>0</v>
      </c>
      <c r="L47" s="18" t="n">
        <v>0</v>
      </c>
    </row>
    <row r="48" ht="20" customHeight="1">
      <c r="A48" s="9" t="inlineStr">
        <is>
          <t>Small</t>
        </is>
      </c>
      <c r="B48" s="9" t="inlineStr">
        <is>
          <t>100 conn (4 threads)</t>
        </is>
      </c>
      <c r="C48" s="19" t="inlineStr">
        <is>
          <t>3join</t>
        </is>
      </c>
      <c r="D48" s="11" t="n">
        <v>1986.55</v>
      </c>
      <c r="E48" s="11" t="n">
        <v>1978.8</v>
      </c>
      <c r="F48" s="21">
        <f>IF(D48&gt;0, (E48-D48)/D48, 0)</f>
        <v/>
      </c>
      <c r="G48" s="11" t="n">
        <v>56.14</v>
      </c>
      <c r="H48" s="11" t="n">
        <v>56.5</v>
      </c>
      <c r="I48" s="11" t="n">
        <v>144.36</v>
      </c>
      <c r="J48" s="11" t="n">
        <v>146.04</v>
      </c>
      <c r="K48" s="13" t="n">
        <v>0</v>
      </c>
      <c r="L48" s="13" t="n">
        <v>0</v>
      </c>
    </row>
    <row r="49" ht="20" customHeight="1">
      <c r="A49" s="14" t="inlineStr">
        <is>
          <t>Small</t>
        </is>
      </c>
      <c r="B49" s="14" t="inlineStr">
        <is>
          <t>100 conn (4 threads)</t>
        </is>
      </c>
      <c r="C49" s="20" t="inlineStr">
        <is>
          <t>4join</t>
        </is>
      </c>
      <c r="D49" s="16" t="n">
        <v>1743.78</v>
      </c>
      <c r="E49" s="16" t="n">
        <v>1757.53</v>
      </c>
      <c r="F49" s="22">
        <f>IF(D49&gt;0, (E49-D49)/D49, 0)</f>
        <v/>
      </c>
      <c r="G49" s="16" t="n">
        <v>60.84</v>
      </c>
      <c r="H49" s="16" t="n">
        <v>60.38</v>
      </c>
      <c r="I49" s="16" t="n">
        <v>140.81</v>
      </c>
      <c r="J49" s="16" t="n">
        <v>140.08</v>
      </c>
      <c r="K49" s="18" t="n">
        <v>0</v>
      </c>
      <c r="L49" s="18" t="n">
        <v>0</v>
      </c>
    </row>
    <row r="50" ht="20" customHeight="1">
      <c r="A50" s="9" t="inlineStr">
        <is>
          <t>General</t>
        </is>
      </c>
      <c r="B50" s="9" t="inlineStr">
        <is>
          <t>500 conn (8 threads)</t>
        </is>
      </c>
      <c r="C50" s="19" t="inlineStr">
        <is>
          <t>1table</t>
        </is>
      </c>
      <c r="D50" s="11" t="n">
        <v>12169.47</v>
      </c>
      <c r="E50" s="11" t="n">
        <v>16855.13</v>
      </c>
      <c r="F50" s="17">
        <f>IF(D50&gt;0, (E50-D50)/D50, 0)</f>
        <v/>
      </c>
      <c r="G50" s="11" t="n">
        <v>43.97</v>
      </c>
      <c r="H50" s="11" t="n">
        <v>31.6</v>
      </c>
      <c r="I50" s="11" t="n">
        <v>80.02</v>
      </c>
      <c r="J50" s="11" t="n">
        <v>57.15</v>
      </c>
      <c r="K50" s="13" t="n">
        <v>0</v>
      </c>
      <c r="L50" s="13" t="n">
        <v>0</v>
      </c>
    </row>
    <row r="51" ht="20" customHeight="1">
      <c r="A51" s="14" t="inlineStr">
        <is>
          <t>General</t>
        </is>
      </c>
      <c r="B51" s="14" t="inlineStr">
        <is>
          <t>500 conn (8 threads)</t>
        </is>
      </c>
      <c r="C51" s="20" t="inlineStr">
        <is>
          <t>2join</t>
        </is>
      </c>
      <c r="D51" s="16" t="n">
        <v>7233.41</v>
      </c>
      <c r="E51" s="16" t="n">
        <v>7777.04</v>
      </c>
      <c r="F51" s="17">
        <f>IF(D51&gt;0, (E51-D51)/D51, 0)</f>
        <v/>
      </c>
      <c r="G51" s="16" t="n">
        <v>68.84999999999999</v>
      </c>
      <c r="H51" s="16" t="n">
        <v>63.76</v>
      </c>
      <c r="I51" s="16" t="n">
        <v>114.33</v>
      </c>
      <c r="J51" s="16" t="n">
        <v>102.98</v>
      </c>
      <c r="K51" s="18" t="n">
        <v>0</v>
      </c>
      <c r="L51" s="18" t="n">
        <v>0</v>
      </c>
    </row>
    <row r="52" ht="20" customHeight="1">
      <c r="A52" s="9" t="inlineStr">
        <is>
          <t>General</t>
        </is>
      </c>
      <c r="B52" s="9" t="inlineStr">
        <is>
          <t>500 conn (8 threads)</t>
        </is>
      </c>
      <c r="C52" s="19" t="inlineStr">
        <is>
          <t>3join</t>
        </is>
      </c>
      <c r="D52" s="11" t="n">
        <v>2022.53</v>
      </c>
      <c r="E52" s="11" t="n">
        <v>2010.47</v>
      </c>
      <c r="F52" s="21">
        <f>IF(D52&gt;0, (E52-D52)/D52, 0)</f>
        <v/>
      </c>
      <c r="G52" s="11" t="n">
        <v>244.64</v>
      </c>
      <c r="H52" s="11" t="n">
        <v>245.46</v>
      </c>
      <c r="I52" s="11" t="n">
        <v>365.3</v>
      </c>
      <c r="J52" s="11" t="n">
        <v>361.8</v>
      </c>
      <c r="K52" s="13" t="n">
        <v>0</v>
      </c>
      <c r="L52" s="13" t="n">
        <v>0</v>
      </c>
    </row>
    <row r="53" ht="20" customHeight="1">
      <c r="A53" s="14" t="inlineStr">
        <is>
          <t>General</t>
        </is>
      </c>
      <c r="B53" s="14" t="inlineStr">
        <is>
          <t>500 conn (8 threads)</t>
        </is>
      </c>
      <c r="C53" s="20" t="inlineStr">
        <is>
          <t>4join</t>
        </is>
      </c>
      <c r="D53" s="16" t="n">
        <v>1734.97</v>
      </c>
      <c r="E53" s="16" t="n">
        <v>1761.27</v>
      </c>
      <c r="F53" s="17">
        <f>IF(D53&gt;0, (E53-D53)/D53, 0)</f>
        <v/>
      </c>
      <c r="G53" s="16" t="n">
        <v>284.96</v>
      </c>
      <c r="H53" s="16" t="n">
        <v>280.04</v>
      </c>
      <c r="I53" s="16" t="n">
        <v>408.77</v>
      </c>
      <c r="J53" s="16" t="n">
        <v>395.51</v>
      </c>
      <c r="K53" s="18" t="n">
        <v>0</v>
      </c>
      <c r="L53" s="18" t="n">
        <v>0</v>
      </c>
    </row>
    <row r="54" ht="20" customHeight="1">
      <c r="A54" s="9" t="inlineStr">
        <is>
          <t>High</t>
        </is>
      </c>
      <c r="B54" s="9" t="inlineStr">
        <is>
          <t>2,000 conn (8 threads)</t>
        </is>
      </c>
      <c r="C54" s="19" t="inlineStr">
        <is>
          <t>1table</t>
        </is>
      </c>
      <c r="D54" s="11" t="n">
        <v>12372.58</v>
      </c>
      <c r="E54" s="11" t="n">
        <v>16567.09</v>
      </c>
      <c r="F54" s="17">
        <f>IF(D54&gt;0, (E54-D54)/D54, 0)</f>
        <v/>
      </c>
      <c r="G54" s="11" t="n">
        <v>162.93</v>
      </c>
      <c r="H54" s="11" t="n">
        <v>120.31</v>
      </c>
      <c r="I54" s="11" t="n">
        <v>220</v>
      </c>
      <c r="J54" s="11" t="n">
        <v>157.95</v>
      </c>
      <c r="K54" s="23" t="n">
        <v>720</v>
      </c>
      <c r="L54" s="23" t="n">
        <v>799</v>
      </c>
    </row>
    <row r="55" ht="20" customHeight="1">
      <c r="A55" s="14" t="inlineStr">
        <is>
          <t>High</t>
        </is>
      </c>
      <c r="B55" s="14" t="inlineStr">
        <is>
          <t>2,000 conn (8 threads)</t>
        </is>
      </c>
      <c r="C55" s="20" t="inlineStr">
        <is>
          <t>2join</t>
        </is>
      </c>
      <c r="D55" s="16" t="n">
        <v>7062.9</v>
      </c>
      <c r="E55" s="16" t="n">
        <v>7782.84</v>
      </c>
      <c r="F55" s="17">
        <f>IF(D55&gt;0, (E55-D55)/D55, 0)</f>
        <v/>
      </c>
      <c r="G55" s="16" t="n">
        <v>282.98</v>
      </c>
      <c r="H55" s="16" t="n">
        <v>255.87</v>
      </c>
      <c r="I55" s="16" t="n">
        <v>343.41</v>
      </c>
      <c r="J55" s="16" t="n">
        <v>302.97</v>
      </c>
      <c r="K55" s="23" t="n">
        <v>287</v>
      </c>
      <c r="L55" s="23" t="n">
        <v>364</v>
      </c>
    </row>
    <row r="56" ht="20" customHeight="1">
      <c r="A56" s="9" t="inlineStr">
        <is>
          <t>High</t>
        </is>
      </c>
      <c r="B56" s="9" t="inlineStr">
        <is>
          <t>2,000 conn (8 threads)</t>
        </is>
      </c>
      <c r="C56" s="19" t="inlineStr">
        <is>
          <t>3join</t>
        </is>
      </c>
      <c r="D56" s="11" t="n">
        <v>1961.29</v>
      </c>
      <c r="E56" s="11" t="n">
        <v>2030.5</v>
      </c>
      <c r="F56" s="17">
        <f>IF(D56&gt;0, (E56-D56)/D56, 0)</f>
        <v/>
      </c>
      <c r="G56" s="11" t="n">
        <v>1014.27</v>
      </c>
      <c r="H56" s="11" t="n">
        <v>975.3200000000001</v>
      </c>
      <c r="I56" s="11" t="n">
        <v>1161.56</v>
      </c>
      <c r="J56" s="11" t="n">
        <v>1115.66</v>
      </c>
      <c r="K56" s="23" t="n">
        <v>997</v>
      </c>
      <c r="L56" s="23" t="n">
        <v>1210</v>
      </c>
    </row>
    <row r="57" ht="20" customHeight="1">
      <c r="A57" s="14" t="inlineStr">
        <is>
          <t>High</t>
        </is>
      </c>
      <c r="B57" s="14" t="inlineStr">
        <is>
          <t>2,000 conn (8 threads)</t>
        </is>
      </c>
      <c r="C57" s="20" t="inlineStr">
        <is>
          <t>4join</t>
        </is>
      </c>
      <c r="D57" s="16" t="n">
        <v>1718.54</v>
      </c>
      <c r="E57" s="16" t="n">
        <v>1774.98</v>
      </c>
      <c r="F57" s="17">
        <f>IF(D57&gt;0, (E57-D57)/D57, 0)</f>
        <v/>
      </c>
      <c r="G57" s="16" t="n">
        <v>1156.77</v>
      </c>
      <c r="H57" s="16" t="n">
        <v>1116.07</v>
      </c>
      <c r="I57" s="16" t="n">
        <v>1306.84</v>
      </c>
      <c r="J57" s="16" t="n">
        <v>1262.23</v>
      </c>
      <c r="K57" s="23" t="n">
        <v>1453</v>
      </c>
      <c r="L57" s="23" t="n">
        <v>1449</v>
      </c>
    </row>
    <row r="58" ht="20" customHeight="1">
      <c r="A58" s="9" t="inlineStr">
        <is>
          <t>Stress</t>
        </is>
      </c>
      <c r="B58" s="9" t="inlineStr">
        <is>
          <t>10,000 conn (16 threads)</t>
        </is>
      </c>
      <c r="C58" s="19" t="inlineStr">
        <is>
          <t>1table</t>
        </is>
      </c>
      <c r="D58" s="11" t="n">
        <v>12195.27</v>
      </c>
      <c r="E58" s="11" t="n">
        <v>16308.9</v>
      </c>
      <c r="F58" s="17">
        <f>IF(D58&gt;0, (E58-D58)/D58, 0)</f>
        <v/>
      </c>
      <c r="G58" s="11" t="n">
        <v>670.38</v>
      </c>
      <c r="H58" s="11" t="n">
        <v>493.5</v>
      </c>
      <c r="I58" s="11" t="n">
        <v>780.91</v>
      </c>
      <c r="J58" s="11" t="n">
        <v>561.54</v>
      </c>
      <c r="K58" s="23" t="n">
        <v>193797</v>
      </c>
      <c r="L58" s="23" t="n">
        <v>151654</v>
      </c>
    </row>
    <row r="59" ht="20" customHeight="1">
      <c r="A59" s="14" t="inlineStr">
        <is>
          <t>Stress</t>
        </is>
      </c>
      <c r="B59" s="14" t="inlineStr">
        <is>
          <t>10,000 conn (16 threads)</t>
        </is>
      </c>
      <c r="C59" s="20" t="inlineStr">
        <is>
          <t>2join</t>
        </is>
      </c>
      <c r="D59" s="16" t="n">
        <v>7066.73</v>
      </c>
      <c r="E59" s="16" t="n">
        <v>7706</v>
      </c>
      <c r="F59" s="17">
        <f>IF(D59&gt;0, (E59-D59)/D59, 0)</f>
        <v/>
      </c>
      <c r="G59" s="16" t="n">
        <v>1154.11</v>
      </c>
      <c r="H59" s="16" t="n">
        <v>1051.58</v>
      </c>
      <c r="I59" s="16" t="n">
        <v>1281.91</v>
      </c>
      <c r="J59" s="16" t="n">
        <v>1137.68</v>
      </c>
      <c r="K59" s="23" t="n">
        <v>157673</v>
      </c>
      <c r="L59" s="23" t="n">
        <v>93392</v>
      </c>
    </row>
    <row r="60" ht="20" customHeight="1">
      <c r="A60" s="9" t="inlineStr">
        <is>
          <t>Stress</t>
        </is>
      </c>
      <c r="B60" s="9" t="inlineStr">
        <is>
          <t>10,000 conn (16 threads)</t>
        </is>
      </c>
      <c r="C60" s="19" t="inlineStr">
        <is>
          <t>3join</t>
        </is>
      </c>
      <c r="D60" s="11" t="n">
        <v>1994.88</v>
      </c>
      <c r="E60" s="11" t="n">
        <v>1967.24</v>
      </c>
      <c r="F60" s="12">
        <f>IF(D60&gt;0, (E60-D60)/D60, 0)</f>
        <v/>
      </c>
      <c r="G60" s="11" t="n">
        <v>114.47</v>
      </c>
      <c r="H60" s="11" t="n">
        <v>118.21</v>
      </c>
      <c r="I60" s="11" t="n">
        <v>288.02</v>
      </c>
      <c r="J60" s="11" t="n">
        <v>291.9</v>
      </c>
      <c r="K60" s="23" t="n">
        <v>11788571</v>
      </c>
      <c r="L60" s="23" t="n">
        <v>11701480</v>
      </c>
    </row>
    <row r="61" ht="20" customHeight="1">
      <c r="A61" s="14" t="inlineStr">
        <is>
          <t>Stress</t>
        </is>
      </c>
      <c r="B61" s="14" t="inlineStr">
        <is>
          <t>10,000 conn (16 threads)</t>
        </is>
      </c>
      <c r="C61" s="20" t="inlineStr">
        <is>
          <t>4join</t>
        </is>
      </c>
      <c r="D61" s="16" t="n">
        <v>1695.19</v>
      </c>
      <c r="E61" s="16" t="n">
        <v>1744.71</v>
      </c>
      <c r="F61" s="17">
        <f>IF(D61&gt;0, (E61-D61)/D61, 0)</f>
        <v/>
      </c>
      <c r="G61" s="16" t="n">
        <v>133.99</v>
      </c>
      <c r="H61" s="16" t="n">
        <v>136.57</v>
      </c>
      <c r="I61" s="16" t="n">
        <v>307.94</v>
      </c>
      <c r="J61" s="16" t="n">
        <v>309.35</v>
      </c>
      <c r="K61" s="23" t="n">
        <v>10050690</v>
      </c>
      <c r="L61" s="23" t="n">
        <v>10369037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9" t="inlineStr">
        <is>
          <t>1table</t>
        </is>
      </c>
      <c r="D78" s="11" t="n">
        <v>9774.09</v>
      </c>
      <c r="E78" s="11" t="n">
        <v>12851.51</v>
      </c>
      <c r="F78" s="17">
        <f>IF(D78&gt;0, (E78-D78)/D78, 0)</f>
        <v/>
      </c>
      <c r="G78" s="11" t="n">
        <v>2.21</v>
      </c>
      <c r="H78" s="11" t="n">
        <v>1.79</v>
      </c>
      <c r="I78" s="11" t="n">
        <v>4.14</v>
      </c>
      <c r="J78" s="11" t="n">
        <v>3.49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20" t="inlineStr">
        <is>
          <t>2table</t>
        </is>
      </c>
      <c r="D79" s="16" t="n">
        <v>5122.51</v>
      </c>
      <c r="E79" s="16" t="n">
        <v>5946.41</v>
      </c>
      <c r="F79" s="17">
        <f>IF(D79&gt;0, (E79-D79)/D79, 0)</f>
        <v/>
      </c>
      <c r="G79" s="16" t="n">
        <v>4.04</v>
      </c>
      <c r="H79" s="16" t="n">
        <v>4.18</v>
      </c>
      <c r="I79" s="16" t="n">
        <v>6.51</v>
      </c>
      <c r="J79" s="16" t="n">
        <v>5.63</v>
      </c>
      <c r="K79" s="18" t="n">
        <v>0</v>
      </c>
      <c r="L79" s="18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9" t="inlineStr">
        <is>
          <t>3table</t>
        </is>
      </c>
      <c r="D80" s="11" t="n">
        <v>4378.74</v>
      </c>
      <c r="E80" s="11" t="n">
        <v>5049.73</v>
      </c>
      <c r="F80" s="17">
        <f>IF(D80&gt;0, (E80-D80)/D80, 0)</f>
        <v/>
      </c>
      <c r="G80" s="11" t="n">
        <v>4.95</v>
      </c>
      <c r="H80" s="11" t="n">
        <v>4.12</v>
      </c>
      <c r="I80" s="11" t="n">
        <v>7.68</v>
      </c>
      <c r="J80" s="11" t="n">
        <v>6.51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20" t="inlineStr">
        <is>
          <t>4table</t>
        </is>
      </c>
      <c r="D81" s="16" t="n">
        <v>3393.85</v>
      </c>
      <c r="E81" s="16" t="n">
        <v>3820.8</v>
      </c>
      <c r="F81" s="17">
        <f>IF(D81&gt;0, (E81-D81)/D81, 0)</f>
        <v/>
      </c>
      <c r="G81" s="16" t="n">
        <v>6.07</v>
      </c>
      <c r="H81" s="16" t="n">
        <v>5.41</v>
      </c>
      <c r="I81" s="16" t="n">
        <v>9.699999999999999</v>
      </c>
      <c r="J81" s="16" t="n">
        <v>8.390000000000001</v>
      </c>
      <c r="K81" s="18" t="n">
        <v>0</v>
      </c>
      <c r="L81" s="18" t="n">
        <v>0</v>
      </c>
    </row>
    <row r="82" ht="20" customHeight="1">
      <c r="A82" s="9" t="inlineStr">
        <is>
          <t>Small</t>
        </is>
      </c>
      <c r="B82" s="9" t="inlineStr">
        <is>
          <t>100 conn (4 threads)</t>
        </is>
      </c>
      <c r="C82" s="19" t="inlineStr">
        <is>
          <t>1table</t>
        </is>
      </c>
      <c r="D82" s="11" t="n">
        <v>8307.32</v>
      </c>
      <c r="E82" s="11" t="n">
        <v>9971.76</v>
      </c>
      <c r="F82" s="17">
        <f>IF(D82&gt;0, (E82-D82)/D82, 0)</f>
        <v/>
      </c>
      <c r="G82" s="11" t="n">
        <v>29.64</v>
      </c>
      <c r="H82" s="11" t="n">
        <v>25.37</v>
      </c>
      <c r="I82" s="11" t="n">
        <v>132.48</v>
      </c>
      <c r="J82" s="11" t="n">
        <v>115.24</v>
      </c>
      <c r="K82" s="13" t="n">
        <v>0</v>
      </c>
      <c r="L82" s="13" t="n">
        <v>0</v>
      </c>
    </row>
    <row r="83" ht="20" customHeight="1">
      <c r="A83" s="14" t="inlineStr">
        <is>
          <t>Small</t>
        </is>
      </c>
      <c r="B83" s="14" t="inlineStr">
        <is>
          <t>100 conn (4 threads)</t>
        </is>
      </c>
      <c r="C83" s="20" t="inlineStr">
        <is>
          <t>2table</t>
        </is>
      </c>
      <c r="D83" s="16" t="n">
        <v>5009.29</v>
      </c>
      <c r="E83" s="16" t="n">
        <v>5674.41</v>
      </c>
      <c r="F83" s="17">
        <f>IF(D83&gt;0, (E83-D83)/D83, 0)</f>
        <v/>
      </c>
      <c r="G83" s="16" t="n">
        <v>26.07</v>
      </c>
      <c r="H83" s="16" t="n">
        <v>24.21</v>
      </c>
      <c r="I83" s="16" t="n">
        <v>82.34</v>
      </c>
      <c r="J83" s="16" t="n">
        <v>80.81</v>
      </c>
      <c r="K83" s="18" t="n">
        <v>0</v>
      </c>
      <c r="L83" s="18" t="n">
        <v>0</v>
      </c>
    </row>
    <row r="84" ht="20" customHeight="1">
      <c r="A84" s="9" t="inlineStr">
        <is>
          <t>Small</t>
        </is>
      </c>
      <c r="B84" s="9" t="inlineStr">
        <is>
          <t>100 conn (4 threads)</t>
        </is>
      </c>
      <c r="C84" s="19" t="inlineStr">
        <is>
          <t>3table</t>
        </is>
      </c>
      <c r="D84" s="11" t="n">
        <v>4433.42</v>
      </c>
      <c r="E84" s="11" t="n">
        <v>4926.66</v>
      </c>
      <c r="F84" s="17">
        <f>IF(D84&gt;0, (E84-D84)/D84, 0)</f>
        <v/>
      </c>
      <c r="G84" s="11" t="n">
        <v>26.02</v>
      </c>
      <c r="H84" s="11" t="n">
        <v>24.98</v>
      </c>
      <c r="I84" s="11" t="n">
        <v>67.86</v>
      </c>
      <c r="J84" s="11" t="n">
        <v>72.84</v>
      </c>
      <c r="K84" s="13" t="n">
        <v>0</v>
      </c>
      <c r="L84" s="13" t="n">
        <v>0</v>
      </c>
    </row>
    <row r="85" ht="20" customHeight="1">
      <c r="A85" s="14" t="inlineStr">
        <is>
          <t>Small</t>
        </is>
      </c>
      <c r="B85" s="14" t="inlineStr">
        <is>
          <t>100 conn (4 threads)</t>
        </is>
      </c>
      <c r="C85" s="20" t="inlineStr">
        <is>
          <t>4table</t>
        </is>
      </c>
      <c r="D85" s="16" t="n">
        <v>3260.17</v>
      </c>
      <c r="E85" s="16" t="n">
        <v>3498.43</v>
      </c>
      <c r="F85" s="17">
        <f>IF(D85&gt;0, (E85-D85)/D85, 0)</f>
        <v/>
      </c>
      <c r="G85" s="16" t="n">
        <v>34.79</v>
      </c>
      <c r="H85" s="16" t="n">
        <v>33.3</v>
      </c>
      <c r="I85" s="16" t="n">
        <v>88.53</v>
      </c>
      <c r="J85" s="16" t="n">
        <v>88.59</v>
      </c>
      <c r="K85" s="18" t="n">
        <v>0</v>
      </c>
      <c r="L85" s="18" t="n">
        <v>0</v>
      </c>
    </row>
    <row r="86" ht="20" customHeight="1">
      <c r="A86" s="9" t="inlineStr">
        <is>
          <t>General</t>
        </is>
      </c>
      <c r="B86" s="9" t="inlineStr">
        <is>
          <t>500 conn (8 threads)</t>
        </is>
      </c>
      <c r="C86" s="19" t="inlineStr">
        <is>
          <t>1table</t>
        </is>
      </c>
      <c r="D86" s="11" t="n">
        <v>7835.42</v>
      </c>
      <c r="E86" s="11" t="n">
        <v>9423.450000000001</v>
      </c>
      <c r="F86" s="17">
        <f>IF(D86&gt;0, (E86-D86)/D86, 0)</f>
        <v/>
      </c>
      <c r="G86" s="11" t="n">
        <v>71.06999999999999</v>
      </c>
      <c r="H86" s="11" t="n">
        <v>58.04</v>
      </c>
      <c r="I86" s="11" t="n">
        <v>171.72</v>
      </c>
      <c r="J86" s="11" t="n">
        <v>135.58</v>
      </c>
      <c r="K86" s="13" t="n">
        <v>0</v>
      </c>
      <c r="L86" s="13" t="n">
        <v>0</v>
      </c>
    </row>
    <row r="87" ht="20" customHeight="1">
      <c r="A87" s="14" t="inlineStr">
        <is>
          <t>General</t>
        </is>
      </c>
      <c r="B87" s="14" t="inlineStr">
        <is>
          <t>500 conn (8 threads)</t>
        </is>
      </c>
      <c r="C87" s="20" t="inlineStr">
        <is>
          <t>2table</t>
        </is>
      </c>
      <c r="D87" s="16" t="n">
        <v>4840.65</v>
      </c>
      <c r="E87" s="16" t="n">
        <v>5458.07</v>
      </c>
      <c r="F87" s="17">
        <f>IF(D87&gt;0, (E87-D87)/D87, 0)</f>
        <v/>
      </c>
      <c r="G87" s="16" t="n">
        <v>103.83</v>
      </c>
      <c r="H87" s="16" t="n">
        <v>91.81</v>
      </c>
      <c r="I87" s="16" t="n">
        <v>180.9</v>
      </c>
      <c r="J87" s="16" t="n">
        <v>159.74</v>
      </c>
      <c r="K87" s="18" t="n">
        <v>0</v>
      </c>
      <c r="L87" s="18" t="n">
        <v>0</v>
      </c>
    </row>
    <row r="88" ht="20" customHeight="1">
      <c r="A88" s="9" t="inlineStr">
        <is>
          <t>General</t>
        </is>
      </c>
      <c r="B88" s="9" t="inlineStr">
        <is>
          <t>500 conn (8 threads)</t>
        </is>
      </c>
      <c r="C88" s="19" t="inlineStr">
        <is>
          <t>3table</t>
        </is>
      </c>
      <c r="D88" s="11" t="n">
        <v>4290.63</v>
      </c>
      <c r="E88" s="11" t="n">
        <v>4769.5</v>
      </c>
      <c r="F88" s="17">
        <f>IF(D88&gt;0, (E88-D88)/D88, 0)</f>
        <v/>
      </c>
      <c r="G88" s="11" t="n">
        <v>116.35</v>
      </c>
      <c r="H88" s="11" t="n">
        <v>104.36</v>
      </c>
      <c r="I88" s="11" t="n">
        <v>195.84</v>
      </c>
      <c r="J88" s="11" t="n">
        <v>174.98</v>
      </c>
      <c r="K88" s="13" t="n">
        <v>0</v>
      </c>
      <c r="L88" s="13" t="n">
        <v>0</v>
      </c>
    </row>
    <row r="89" ht="20" customHeight="1">
      <c r="A89" s="14" t="inlineStr">
        <is>
          <t>General</t>
        </is>
      </c>
      <c r="B89" s="14" t="inlineStr">
        <is>
          <t>500 conn (8 threads)</t>
        </is>
      </c>
      <c r="C89" s="20" t="inlineStr">
        <is>
          <t>4table</t>
        </is>
      </c>
      <c r="D89" s="16" t="n">
        <v>3101.37</v>
      </c>
      <c r="E89" s="16" t="n">
        <v>3420.89</v>
      </c>
      <c r="F89" s="17">
        <f>IF(D89&gt;0, (E89-D89)/D89, 0)</f>
        <v/>
      </c>
      <c r="G89" s="16" t="n">
        <v>160.71</v>
      </c>
      <c r="H89" s="16" t="n">
        <v>144.94</v>
      </c>
      <c r="I89" s="16" t="n">
        <v>260.69</v>
      </c>
      <c r="J89" s="16" t="n">
        <v>231.08</v>
      </c>
      <c r="K89" s="18" t="n">
        <v>0</v>
      </c>
      <c r="L89" s="18" t="n">
        <v>0</v>
      </c>
    </row>
    <row r="90" ht="20" customHeight="1">
      <c r="A90" s="9" t="inlineStr">
        <is>
          <t>High</t>
        </is>
      </c>
      <c r="B90" s="9" t="inlineStr">
        <is>
          <t>2,000 conn (8 threads)</t>
        </is>
      </c>
      <c r="C90" s="19" t="inlineStr">
        <is>
          <t>1table</t>
        </is>
      </c>
      <c r="D90" s="11" t="n">
        <v>7839.57</v>
      </c>
      <c r="E90" s="11" t="n">
        <v>9396.459999999999</v>
      </c>
      <c r="F90" s="17">
        <f>IF(D90&gt;0, (E90-D90)/D90, 0)</f>
        <v/>
      </c>
      <c r="G90" s="11" t="n">
        <v>255.58</v>
      </c>
      <c r="H90" s="11" t="n">
        <v>212.51</v>
      </c>
      <c r="I90" s="11" t="n">
        <v>333.5</v>
      </c>
      <c r="J90" s="11" t="n">
        <v>281.77</v>
      </c>
      <c r="K90" s="23" t="n">
        <v>66</v>
      </c>
      <c r="L90" s="23" t="n">
        <v>212</v>
      </c>
    </row>
    <row r="91" ht="20" customHeight="1">
      <c r="A91" s="14" t="inlineStr">
        <is>
          <t>High</t>
        </is>
      </c>
      <c r="B91" s="14" t="inlineStr">
        <is>
          <t>2,000 conn (8 threads)</t>
        </is>
      </c>
      <c r="C91" s="20" t="inlineStr">
        <is>
          <t>2table</t>
        </is>
      </c>
      <c r="D91" s="16" t="n">
        <v>4845.02</v>
      </c>
      <c r="E91" s="16" t="n">
        <v>5470.84</v>
      </c>
      <c r="F91" s="17">
        <f>IF(D91&gt;0, (E91-D91)/D91, 0)</f>
        <v/>
      </c>
      <c r="G91" s="16" t="n">
        <v>411.98</v>
      </c>
      <c r="H91" s="16" t="n">
        <v>363.34</v>
      </c>
      <c r="I91" s="16" t="n">
        <v>513.11</v>
      </c>
      <c r="J91" s="16" t="n">
        <v>447.27</v>
      </c>
      <c r="K91" s="23" t="n">
        <v>225</v>
      </c>
      <c r="L91" s="23" t="n">
        <v>874</v>
      </c>
    </row>
    <row r="92" ht="20" customHeight="1">
      <c r="A92" s="9" t="inlineStr">
        <is>
          <t>High</t>
        </is>
      </c>
      <c r="B92" s="9" t="inlineStr">
        <is>
          <t>2,000 conn (8 threads)</t>
        </is>
      </c>
      <c r="C92" s="19" t="inlineStr">
        <is>
          <t>3table</t>
        </is>
      </c>
      <c r="D92" s="11" t="n">
        <v>4302.66</v>
      </c>
      <c r="E92" s="11" t="n">
        <v>4786.73</v>
      </c>
      <c r="F92" s="17">
        <f>IF(D92&gt;0, (E92-D92)/D92, 0)</f>
        <v/>
      </c>
      <c r="G92" s="11" t="n">
        <v>463.81</v>
      </c>
      <c r="H92" s="11" t="n">
        <v>415.09</v>
      </c>
      <c r="I92" s="11" t="n">
        <v>573.8200000000001</v>
      </c>
      <c r="J92" s="11" t="n">
        <v>503.8</v>
      </c>
      <c r="K92" s="23" t="n">
        <v>49</v>
      </c>
      <c r="L92" s="23" t="n">
        <v>1106</v>
      </c>
    </row>
    <row r="93" ht="20" customHeight="1">
      <c r="A93" s="14" t="inlineStr">
        <is>
          <t>High</t>
        </is>
      </c>
      <c r="B93" s="14" t="inlineStr">
        <is>
          <t>2,000 conn (8 threads)</t>
        </is>
      </c>
      <c r="C93" s="20" t="inlineStr">
        <is>
          <t>4table</t>
        </is>
      </c>
      <c r="D93" s="16" t="n">
        <v>3103.72</v>
      </c>
      <c r="E93" s="16" t="n">
        <v>3410.87</v>
      </c>
      <c r="F93" s="17">
        <f>IF(D93&gt;0, (E93-D93)/D93, 0)</f>
        <v/>
      </c>
      <c r="G93" s="16" t="n">
        <v>644.24</v>
      </c>
      <c r="H93" s="16" t="n">
        <v>582.16</v>
      </c>
      <c r="I93" s="16" t="n">
        <v>803.0599999999999</v>
      </c>
      <c r="J93" s="16" t="n">
        <v>693.04</v>
      </c>
      <c r="K93" s="23" t="n">
        <v>309</v>
      </c>
      <c r="L93" s="23" t="n">
        <v>1116</v>
      </c>
    </row>
    <row r="94" ht="20" customHeight="1">
      <c r="A94" s="9" t="inlineStr">
        <is>
          <t>Stress</t>
        </is>
      </c>
      <c r="B94" s="9" t="inlineStr">
        <is>
          <t>10,000 conn (16 threads)</t>
        </is>
      </c>
      <c r="C94" s="19" t="inlineStr">
        <is>
          <t>1table</t>
        </is>
      </c>
      <c r="D94" s="11" t="n">
        <v>7720.57</v>
      </c>
      <c r="E94" s="11" t="n">
        <v>9338.24</v>
      </c>
      <c r="F94" s="17">
        <f>IF(D94&gt;0, (E94-D94)/D94, 0)</f>
        <v/>
      </c>
      <c r="G94" s="11" t="n">
        <v>1057.06</v>
      </c>
      <c r="H94" s="11" t="n">
        <v>873.46</v>
      </c>
      <c r="I94" s="11" t="n">
        <v>1215.95</v>
      </c>
      <c r="J94" s="11" t="n">
        <v>991.66</v>
      </c>
      <c r="K94" s="23" t="n">
        <v>143656</v>
      </c>
      <c r="L94" s="23" t="n">
        <v>95393</v>
      </c>
    </row>
    <row r="95" ht="20" customHeight="1">
      <c r="A95" s="14" t="inlineStr">
        <is>
          <t>Stress</t>
        </is>
      </c>
      <c r="B95" s="14" t="inlineStr">
        <is>
          <t>10,000 conn (16 threads)</t>
        </is>
      </c>
      <c r="C95" s="20" t="inlineStr">
        <is>
          <t>2table</t>
        </is>
      </c>
      <c r="D95" s="16" t="n">
        <v>4783.26</v>
      </c>
      <c r="E95" s="16" t="n">
        <v>5452.18</v>
      </c>
      <c r="F95" s="17">
        <f>IF(D95&gt;0, (E95-D95)/D95, 0)</f>
        <v/>
      </c>
      <c r="G95" s="16" t="n">
        <v>1687.36</v>
      </c>
      <c r="H95" s="16" t="n">
        <v>1493.61</v>
      </c>
      <c r="I95" s="16" t="n">
        <v>1899.44</v>
      </c>
      <c r="J95" s="16" t="n">
        <v>1648.81</v>
      </c>
      <c r="K95" s="23" t="n">
        <v>1130283</v>
      </c>
      <c r="L95" s="23" t="n">
        <v>131657</v>
      </c>
    </row>
    <row r="96" ht="20" customHeight="1">
      <c r="A96" s="9" t="inlineStr">
        <is>
          <t>Stress</t>
        </is>
      </c>
      <c r="B96" s="9" t="inlineStr">
        <is>
          <t>10,000 conn (16 threads)</t>
        </is>
      </c>
      <c r="C96" s="19" t="inlineStr">
        <is>
          <t>3table</t>
        </is>
      </c>
      <c r="D96" s="11" t="n">
        <v>4242.16</v>
      </c>
      <c r="E96" s="11" t="n">
        <v>4792.04</v>
      </c>
      <c r="F96" s="17">
        <f>IF(D96&gt;0, (E96-D96)/D96, 0)</f>
        <v/>
      </c>
      <c r="G96" s="11" t="n">
        <v>1475.37</v>
      </c>
      <c r="H96" s="11" t="n">
        <v>1697.12</v>
      </c>
      <c r="I96" s="11" t="n">
        <v>1997.85</v>
      </c>
      <c r="J96" s="11" t="n">
        <v>1860.58</v>
      </c>
      <c r="K96" s="23" t="n">
        <v>18450129</v>
      </c>
      <c r="L96" s="23" t="n">
        <v>216273</v>
      </c>
    </row>
    <row r="97" ht="20" customHeight="1">
      <c r="A97" s="14" t="inlineStr">
        <is>
          <t>Stress</t>
        </is>
      </c>
      <c r="B97" s="14" t="inlineStr">
        <is>
          <t>10,000 conn (16 threads)</t>
        </is>
      </c>
      <c r="C97" s="20" t="inlineStr">
        <is>
          <t>4table</t>
        </is>
      </c>
      <c r="D97" s="16" t="n">
        <v>3129.07</v>
      </c>
      <c r="E97" s="16" t="n">
        <v>3413.24</v>
      </c>
      <c r="F97" s="17">
        <f>IF(D97&gt;0, (E97-D97)/D97, 0)</f>
        <v/>
      </c>
      <c r="G97" s="16" t="n">
        <v>72.65000000000001</v>
      </c>
      <c r="H97" s="16" t="n">
        <v>333.99</v>
      </c>
      <c r="I97" s="16" t="n">
        <v>190.23</v>
      </c>
      <c r="J97" s="16" t="n">
        <v>1704.7</v>
      </c>
      <c r="K97" s="23" t="n">
        <v>17612418</v>
      </c>
      <c r="L97" s="23" t="n">
        <v>19690183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1" workbookViewId="0">
      <selection activeCell="A1" sqref="A1"/>
    </sheetView>
  </sheetViews>
  <sheetFormatPr baseColWidth="8" defaultRowHeight="15"/>
  <cols>
    <col width="136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PYTHON (OPT.) (FASTAPI (OPT)) - DETAILED BENCHMARK SPECIFICATION</t>
        </is>
      </c>
    </row>
    <row r="2" ht="18" customHeight="1">
      <c r="A2" s="2" t="inlineStr">
        <is>
          <t>Runtime: Python 3.12 (CustomORJSONResponse / uvloop / 16 workers)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9" t="inlineStr">
        <is>
          <t>1table</t>
        </is>
      </c>
      <c r="D6" s="11" t="n">
        <v>3228.25</v>
      </c>
      <c r="E6" s="11" t="n">
        <v>2814.82</v>
      </c>
      <c r="F6" s="12">
        <f>IF(D6&gt;0, (E6-D6)/D6, 0)</f>
        <v/>
      </c>
      <c r="G6" s="11" t="n">
        <v>6.28</v>
      </c>
      <c r="H6" s="11" t="n">
        <v>7.71</v>
      </c>
      <c r="I6" s="11" t="n">
        <v>11.14</v>
      </c>
      <c r="J6" s="11" t="n">
        <v>17.14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0" t="inlineStr">
        <is>
          <t>2join</t>
        </is>
      </c>
      <c r="D7" s="16" t="n">
        <v>2925.46</v>
      </c>
      <c r="E7" s="16" t="n">
        <v>2704.72</v>
      </c>
      <c r="F7" s="12">
        <f>IF(D7&gt;0, (E7-D7)/D7, 0)</f>
        <v/>
      </c>
      <c r="G7" s="16" t="n">
        <v>6.96</v>
      </c>
      <c r="H7" s="16" t="n">
        <v>7.64</v>
      </c>
      <c r="I7" s="16" t="n">
        <v>11.6</v>
      </c>
      <c r="J7" s="16" t="n">
        <v>13.91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9" t="inlineStr">
        <is>
          <t>3join</t>
        </is>
      </c>
      <c r="D8" s="11" t="n">
        <v>311.47</v>
      </c>
      <c r="E8" s="11" t="n">
        <v>309.51</v>
      </c>
      <c r="F8" s="21">
        <f>IF(D8&gt;0, (E8-D8)/D8, 0)</f>
        <v/>
      </c>
      <c r="G8" s="11" t="n">
        <v>64.13</v>
      </c>
      <c r="H8" s="11" t="n">
        <v>64.51000000000001</v>
      </c>
      <c r="I8" s="11" t="n">
        <v>95.05</v>
      </c>
      <c r="J8" s="11" t="n">
        <v>93.31999999999999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0" t="inlineStr">
        <is>
          <t>4join</t>
        </is>
      </c>
      <c r="D9" s="16" t="n">
        <v>705.24</v>
      </c>
      <c r="E9" s="16" t="n">
        <v>716.13</v>
      </c>
      <c r="F9" s="17">
        <f>IF(D9&gt;0, (E9-D9)/D9, 0)</f>
        <v/>
      </c>
      <c r="G9" s="16" t="n">
        <v>28.35</v>
      </c>
      <c r="H9" s="16" t="n">
        <v>27.93</v>
      </c>
      <c r="I9" s="16" t="n">
        <v>42.67</v>
      </c>
      <c r="J9" s="16" t="n">
        <v>42.91</v>
      </c>
      <c r="K9" s="18" t="n">
        <v>0</v>
      </c>
      <c r="L9" s="18" t="n">
        <v>0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19" t="inlineStr">
        <is>
          <t>1table</t>
        </is>
      </c>
      <c r="D10" s="11" t="n">
        <v>4212.22</v>
      </c>
      <c r="E10" s="11" t="n">
        <v>4688.18</v>
      </c>
      <c r="F10" s="17">
        <f>IF(D10&gt;0, (E10-D10)/D10, 0)</f>
        <v/>
      </c>
      <c r="G10" s="11" t="n">
        <v>24.51</v>
      </c>
      <c r="H10" s="11" t="n">
        <v>22.49</v>
      </c>
      <c r="I10" s="11" t="n">
        <v>49.94</v>
      </c>
      <c r="J10" s="11" t="n">
        <v>51.49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0" t="inlineStr">
        <is>
          <t>2join</t>
        </is>
      </c>
      <c r="D11" s="16" t="n">
        <v>3943.07</v>
      </c>
      <c r="E11" s="16" t="n">
        <v>4380.43</v>
      </c>
      <c r="F11" s="17">
        <f>IF(D11&gt;0, (E11-D11)/D11, 0)</f>
        <v/>
      </c>
      <c r="G11" s="16" t="n">
        <v>26.42</v>
      </c>
      <c r="H11" s="16" t="n">
        <v>23.67</v>
      </c>
      <c r="I11" s="16" t="n">
        <v>57.77</v>
      </c>
      <c r="J11" s="16" t="n">
        <v>50.13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19" t="inlineStr">
        <is>
          <t>3join</t>
        </is>
      </c>
      <c r="D12" s="11" t="n">
        <v>300.41</v>
      </c>
      <c r="E12" s="11" t="n">
        <v>305.14</v>
      </c>
      <c r="F12" s="17">
        <f>IF(D12&gt;0, (E12-D12)/D12, 0)</f>
        <v/>
      </c>
      <c r="G12" s="11" t="n">
        <v>331.72</v>
      </c>
      <c r="H12" s="11" t="n">
        <v>326.78</v>
      </c>
      <c r="I12" s="11" t="n">
        <v>571.1</v>
      </c>
      <c r="J12" s="11" t="n">
        <v>505.14</v>
      </c>
      <c r="K12" s="13" t="n">
        <v>0</v>
      </c>
      <c r="L12" s="13" t="n">
        <v>0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0" t="inlineStr">
        <is>
          <t>4join</t>
        </is>
      </c>
      <c r="D13" s="16" t="n">
        <v>662.1900000000001</v>
      </c>
      <c r="E13" s="16" t="n">
        <v>686.16</v>
      </c>
      <c r="F13" s="17">
        <f>IF(D13&gt;0, (E13-D13)/D13, 0)</f>
        <v/>
      </c>
      <c r="G13" s="16" t="n">
        <v>152</v>
      </c>
      <c r="H13" s="16" t="n">
        <v>146.11</v>
      </c>
      <c r="I13" s="16" t="n">
        <v>295.19</v>
      </c>
      <c r="J13" s="16" t="n">
        <v>248.02</v>
      </c>
      <c r="K13" s="18" t="n">
        <v>0</v>
      </c>
      <c r="L13" s="18" t="n">
        <v>0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19" t="inlineStr">
        <is>
          <t>1table</t>
        </is>
      </c>
      <c r="D14" s="11" t="n">
        <v>4106.33</v>
      </c>
      <c r="E14" s="11" t="n">
        <v>4635.03</v>
      </c>
      <c r="F14" s="17">
        <f>IF(D14&gt;0, (E14-D14)/D14, 0)</f>
        <v/>
      </c>
      <c r="G14" s="11" t="n">
        <v>123.46</v>
      </c>
      <c r="H14" s="11" t="n">
        <v>118.54</v>
      </c>
      <c r="I14" s="11" t="n">
        <v>224.75</v>
      </c>
      <c r="J14" s="11" t="n">
        <v>255.81</v>
      </c>
      <c r="K14" s="23" t="n">
        <v>12</v>
      </c>
      <c r="L14" s="23" t="n">
        <v>244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0" t="inlineStr">
        <is>
          <t>2join</t>
        </is>
      </c>
      <c r="D15" s="16" t="n">
        <v>3913.44</v>
      </c>
      <c r="E15" s="16" t="n">
        <v>4323.16</v>
      </c>
      <c r="F15" s="17">
        <f>IF(D15&gt;0, (E15-D15)/D15, 0)</f>
        <v/>
      </c>
      <c r="G15" s="16" t="n">
        <v>135.5</v>
      </c>
      <c r="H15" s="16" t="n">
        <v>143.49</v>
      </c>
      <c r="I15" s="16" t="n">
        <v>293.62</v>
      </c>
      <c r="J15" s="16" t="n">
        <v>436.28</v>
      </c>
      <c r="K15" s="23" t="n">
        <v>12</v>
      </c>
      <c r="L15" s="23" t="n">
        <v>434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19" t="inlineStr">
        <is>
          <t>3join</t>
        </is>
      </c>
      <c r="D16" s="11" t="n">
        <v>296.84</v>
      </c>
      <c r="E16" s="11" t="n">
        <v>299.99</v>
      </c>
      <c r="F16" s="17">
        <f>IF(D16&gt;0, (E16-D16)/D16, 0)</f>
        <v/>
      </c>
      <c r="G16" s="11" t="n">
        <v>1034.73</v>
      </c>
      <c r="H16" s="11" t="n">
        <v>1166.03</v>
      </c>
      <c r="I16" s="11" t="n">
        <v>1847.14</v>
      </c>
      <c r="J16" s="11" t="n">
        <v>1875.85</v>
      </c>
      <c r="K16" s="23" t="n">
        <v>104345</v>
      </c>
      <c r="L16" s="23" t="n">
        <v>101995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0" t="inlineStr">
        <is>
          <t>4join</t>
        </is>
      </c>
      <c r="D17" s="16" t="n">
        <v>651.41</v>
      </c>
      <c r="E17" s="16" t="n">
        <v>668.4299999999999</v>
      </c>
      <c r="F17" s="17">
        <f>IF(D17&gt;0, (E17-D17)/D17, 0)</f>
        <v/>
      </c>
      <c r="G17" s="16" t="n">
        <v>728.72</v>
      </c>
      <c r="H17" s="16" t="n">
        <v>710.97</v>
      </c>
      <c r="I17" s="16" t="n">
        <v>1446.62</v>
      </c>
      <c r="J17" s="16" t="n">
        <v>1391.47</v>
      </c>
      <c r="K17" s="23" t="n">
        <v>14646</v>
      </c>
      <c r="L17" s="23" t="n">
        <v>14758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19" t="inlineStr">
        <is>
          <t>1table</t>
        </is>
      </c>
      <c r="D18" s="11" t="n">
        <v>3962.61</v>
      </c>
      <c r="E18" s="11" t="n">
        <v>4498.12</v>
      </c>
      <c r="F18" s="17">
        <f>IF(D18&gt;0, (E18-D18)/D18, 0)</f>
        <v/>
      </c>
      <c r="G18" s="11" t="n">
        <v>442.89</v>
      </c>
      <c r="H18" s="11" t="n">
        <v>348.25</v>
      </c>
      <c r="I18" s="11" t="n">
        <v>1370.61</v>
      </c>
      <c r="J18" s="11" t="n">
        <v>1073.61</v>
      </c>
      <c r="K18" s="23" t="n">
        <v>463033</v>
      </c>
      <c r="L18" s="23" t="n">
        <v>421600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0" t="inlineStr">
        <is>
          <t>2join</t>
        </is>
      </c>
      <c r="D19" s="16" t="n">
        <v>3805.89</v>
      </c>
      <c r="E19" s="16" t="n">
        <v>4209.92</v>
      </c>
      <c r="F19" s="17">
        <f>IF(D19&gt;0, (E19-D19)/D19, 0)</f>
        <v/>
      </c>
      <c r="G19" s="16" t="n">
        <v>473.23</v>
      </c>
      <c r="H19" s="16" t="n">
        <v>356.09</v>
      </c>
      <c r="I19" s="16" t="n">
        <v>1394.36</v>
      </c>
      <c r="J19" s="16" t="n">
        <v>1341.95</v>
      </c>
      <c r="K19" s="23" t="n">
        <v>380817</v>
      </c>
      <c r="L19" s="23" t="n">
        <v>601770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19" t="inlineStr">
        <is>
          <t>3join</t>
        </is>
      </c>
      <c r="D20" s="11" t="n">
        <v>291.63</v>
      </c>
      <c r="E20" s="11" t="n">
        <v>294.94</v>
      </c>
      <c r="F20" s="17">
        <f>IF(D20&gt;0, (E20-D20)/D20, 0)</f>
        <v/>
      </c>
      <c r="G20" s="11" t="n">
        <v>796.85</v>
      </c>
      <c r="H20" s="11" t="n">
        <v>717.38</v>
      </c>
      <c r="I20" s="11" t="n">
        <v>1557.62</v>
      </c>
      <c r="J20" s="11" t="n">
        <v>1311.04</v>
      </c>
      <c r="K20" s="23" t="n">
        <v>645669</v>
      </c>
      <c r="L20" s="23" t="n">
        <v>660679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0" t="inlineStr">
        <is>
          <t>4join</t>
        </is>
      </c>
      <c r="D21" s="16" t="n">
        <v>637.26</v>
      </c>
      <c r="E21" s="16" t="n">
        <v>656.25</v>
      </c>
      <c r="F21" s="17">
        <f>IF(D21&gt;0, (E21-D21)/D21, 0)</f>
        <v/>
      </c>
      <c r="G21" s="16" t="n">
        <v>872.92</v>
      </c>
      <c r="H21" s="16" t="n">
        <v>915.4400000000001</v>
      </c>
      <c r="I21" s="16" t="n">
        <v>1908.6</v>
      </c>
      <c r="J21" s="16" t="n">
        <v>1935.11</v>
      </c>
      <c r="K21" s="23" t="n">
        <v>1045258</v>
      </c>
      <c r="L21" s="23" t="n">
        <v>1138679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19" t="inlineStr">
        <is>
          <t>1table</t>
        </is>
      </c>
      <c r="D22" s="11" t="n">
        <v>3542.72</v>
      </c>
      <c r="E22" s="11" t="n">
        <v>4131.32</v>
      </c>
      <c r="F22" s="17">
        <f>IF(D22&gt;0, (E22-D22)/D22, 0)</f>
        <v/>
      </c>
      <c r="G22" s="11" t="n">
        <v>1535.96</v>
      </c>
      <c r="H22" s="11" t="n">
        <v>1332.5</v>
      </c>
      <c r="I22" s="11" t="n">
        <v>1962.11</v>
      </c>
      <c r="J22" s="11" t="n">
        <v>1713.01</v>
      </c>
      <c r="K22" s="23" t="n">
        <v>19808467</v>
      </c>
      <c r="L22" s="23" t="n">
        <v>17241200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0" t="inlineStr">
        <is>
          <t>2join</t>
        </is>
      </c>
      <c r="D23" s="16" t="n">
        <v>3561.88</v>
      </c>
      <c r="E23" s="16" t="n">
        <v>3993.72</v>
      </c>
      <c r="F23" s="17">
        <f>IF(D23&gt;0, (E23-D23)/D23, 0)</f>
        <v/>
      </c>
      <c r="G23" s="16" t="n">
        <v>210.02</v>
      </c>
      <c r="H23" s="16" t="n">
        <v>234.02</v>
      </c>
      <c r="I23" s="16" t="n">
        <v>1372.78</v>
      </c>
      <c r="J23" s="16" t="n">
        <v>1296.67</v>
      </c>
      <c r="K23" s="23" t="n">
        <v>9118692</v>
      </c>
      <c r="L23" s="23" t="n">
        <v>7940192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19" t="inlineStr">
        <is>
          <t>3join</t>
        </is>
      </c>
      <c r="D24" s="11" t="n">
        <v>274.5</v>
      </c>
      <c r="E24" s="11" t="n">
        <v>275.36</v>
      </c>
      <c r="F24" s="21">
        <f>IF(D24&gt;0, (E24-D24)/D24, 0)</f>
        <v/>
      </c>
      <c r="G24" s="11" t="n">
        <v>671.6900000000001</v>
      </c>
      <c r="H24" s="11" t="n">
        <v>662.23</v>
      </c>
      <c r="I24" s="11" t="n">
        <v>1106.35</v>
      </c>
      <c r="J24" s="11" t="n">
        <v>942.5</v>
      </c>
      <c r="K24" s="23" t="n">
        <v>1540211</v>
      </c>
      <c r="L24" s="23" t="n">
        <v>1547893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0" t="inlineStr">
        <is>
          <t>4join</t>
        </is>
      </c>
      <c r="D25" s="16" t="n">
        <v>616.79</v>
      </c>
      <c r="E25" s="16" t="n">
        <v>632.65</v>
      </c>
      <c r="F25" s="17">
        <f>IF(D25&gt;0, (E25-D25)/D25, 0)</f>
        <v/>
      </c>
      <c r="G25" s="16" t="n">
        <v>314.6</v>
      </c>
      <c r="H25" s="16" t="n">
        <v>303.65</v>
      </c>
      <c r="I25" s="16" t="n">
        <v>580.1</v>
      </c>
      <c r="J25" s="16" t="n">
        <v>532.5599999999999</v>
      </c>
      <c r="K25" s="23" t="n">
        <v>3079136</v>
      </c>
      <c r="L25" s="23" t="n">
        <v>3231051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9" t="inlineStr">
        <is>
          <t>1table</t>
        </is>
      </c>
      <c r="D42" s="11" t="n">
        <v>3202.93</v>
      </c>
      <c r="E42" s="11" t="n">
        <v>2913.31</v>
      </c>
      <c r="F42" s="12">
        <f>IF(D42&gt;0, (E42-D42)/D42, 0)</f>
        <v/>
      </c>
      <c r="G42" s="11" t="n">
        <v>6.4</v>
      </c>
      <c r="H42" s="11" t="n">
        <v>7.31</v>
      </c>
      <c r="I42" s="11" t="n">
        <v>11.54</v>
      </c>
      <c r="J42" s="11" t="n">
        <v>14.43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20" t="inlineStr">
        <is>
          <t>2join</t>
        </is>
      </c>
      <c r="D43" s="16" t="n">
        <v>3075.25</v>
      </c>
      <c r="E43" s="16" t="n">
        <v>2825.46</v>
      </c>
      <c r="F43" s="12">
        <f>IF(D43&gt;0, (E43-D43)/D43, 0)</f>
        <v/>
      </c>
      <c r="G43" s="16" t="n">
        <v>6.58</v>
      </c>
      <c r="H43" s="16" t="n">
        <v>7.3</v>
      </c>
      <c r="I43" s="16" t="n">
        <v>10.99</v>
      </c>
      <c r="J43" s="16" t="n">
        <v>14.39</v>
      </c>
      <c r="K43" s="18" t="n">
        <v>0</v>
      </c>
      <c r="L43" s="18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9" t="inlineStr">
        <is>
          <t>3join</t>
        </is>
      </c>
      <c r="D44" s="11" t="n">
        <v>1762.95</v>
      </c>
      <c r="E44" s="11" t="n">
        <v>1705.34</v>
      </c>
      <c r="F44" s="12">
        <f>IF(D44&gt;0, (E44-D44)/D44, 0)</f>
        <v/>
      </c>
      <c r="G44" s="11" t="n">
        <v>11.4</v>
      </c>
      <c r="H44" s="11" t="n">
        <v>12.01</v>
      </c>
      <c r="I44" s="11" t="n">
        <v>18.79</v>
      </c>
      <c r="J44" s="11" t="n">
        <v>21.81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20" t="inlineStr">
        <is>
          <t>4join</t>
        </is>
      </c>
      <c r="D45" s="16" t="n">
        <v>1697.24</v>
      </c>
      <c r="E45" s="16" t="n">
        <v>1606.63</v>
      </c>
      <c r="F45" s="12">
        <f>IF(D45&gt;0, (E45-D45)/D45, 0)</f>
        <v/>
      </c>
      <c r="G45" s="16" t="n">
        <v>11.86</v>
      </c>
      <c r="H45" s="16" t="n">
        <v>12.74</v>
      </c>
      <c r="I45" s="16" t="n">
        <v>19.65</v>
      </c>
      <c r="J45" s="16" t="n">
        <v>23.01</v>
      </c>
      <c r="K45" s="18" t="n">
        <v>0</v>
      </c>
      <c r="L45" s="18" t="n">
        <v>0</v>
      </c>
    </row>
    <row r="46" ht="20" customHeight="1">
      <c r="A46" s="9" t="inlineStr">
        <is>
          <t>Small</t>
        </is>
      </c>
      <c r="B46" s="9" t="inlineStr">
        <is>
          <t>100 conn (4 threads)</t>
        </is>
      </c>
      <c r="C46" s="19" t="inlineStr">
        <is>
          <t>1table</t>
        </is>
      </c>
      <c r="D46" s="11" t="n">
        <v>4225.05</v>
      </c>
      <c r="E46" s="11" t="n">
        <v>4754.7</v>
      </c>
      <c r="F46" s="17">
        <f>IF(D46&gt;0, (E46-D46)/D46, 0)</f>
        <v/>
      </c>
      <c r="G46" s="11" t="n">
        <v>24.48</v>
      </c>
      <c r="H46" s="11" t="n">
        <v>22.34</v>
      </c>
      <c r="I46" s="11" t="n">
        <v>50.69</v>
      </c>
      <c r="J46" s="11" t="n">
        <v>53.03</v>
      </c>
      <c r="K46" s="13" t="n">
        <v>0</v>
      </c>
      <c r="L46" s="13" t="n">
        <v>0</v>
      </c>
    </row>
    <row r="47" ht="20" customHeight="1">
      <c r="A47" s="14" t="inlineStr">
        <is>
          <t>Small</t>
        </is>
      </c>
      <c r="B47" s="14" t="inlineStr">
        <is>
          <t>100 conn (4 threads)</t>
        </is>
      </c>
      <c r="C47" s="20" t="inlineStr">
        <is>
          <t>2join</t>
        </is>
      </c>
      <c r="D47" s="16" t="n">
        <v>3954.94</v>
      </c>
      <c r="E47" s="16" t="n">
        <v>4381.76</v>
      </c>
      <c r="F47" s="17">
        <f>IF(D47&gt;0, (E47-D47)/D47, 0)</f>
        <v/>
      </c>
      <c r="G47" s="16" t="n">
        <v>26.11</v>
      </c>
      <c r="H47" s="16" t="n">
        <v>23.91</v>
      </c>
      <c r="I47" s="16" t="n">
        <v>54.48</v>
      </c>
      <c r="J47" s="16" t="n">
        <v>52.62</v>
      </c>
      <c r="K47" s="18" t="n">
        <v>0</v>
      </c>
      <c r="L47" s="18" t="n">
        <v>0</v>
      </c>
    </row>
    <row r="48" ht="20" customHeight="1">
      <c r="A48" s="9" t="inlineStr">
        <is>
          <t>Small</t>
        </is>
      </c>
      <c r="B48" s="9" t="inlineStr">
        <is>
          <t>100 conn (4 threads)</t>
        </is>
      </c>
      <c r="C48" s="19" t="inlineStr">
        <is>
          <t>3join</t>
        </is>
      </c>
      <c r="D48" s="11" t="n">
        <v>1759.79</v>
      </c>
      <c r="E48" s="11" t="n">
        <v>1793.58</v>
      </c>
      <c r="F48" s="17">
        <f>IF(D48&gt;0, (E48-D48)/D48, 0)</f>
        <v/>
      </c>
      <c r="G48" s="11" t="n">
        <v>60.14</v>
      </c>
      <c r="H48" s="11" t="n">
        <v>59.2</v>
      </c>
      <c r="I48" s="11" t="n">
        <v>137.34</v>
      </c>
      <c r="J48" s="11" t="n">
        <v>136.26</v>
      </c>
      <c r="K48" s="13" t="n">
        <v>0</v>
      </c>
      <c r="L48" s="13" t="n">
        <v>0</v>
      </c>
    </row>
    <row r="49" ht="20" customHeight="1">
      <c r="A49" s="14" t="inlineStr">
        <is>
          <t>Small</t>
        </is>
      </c>
      <c r="B49" s="14" t="inlineStr">
        <is>
          <t>100 conn (4 threads)</t>
        </is>
      </c>
      <c r="C49" s="20" t="inlineStr">
        <is>
          <t>4join</t>
        </is>
      </c>
      <c r="D49" s="16" t="n">
        <v>1753.26</v>
      </c>
      <c r="E49" s="16" t="n">
        <v>1783.16</v>
      </c>
      <c r="F49" s="17">
        <f>IF(D49&gt;0, (E49-D49)/D49, 0)</f>
        <v/>
      </c>
      <c r="G49" s="16" t="n">
        <v>59.17</v>
      </c>
      <c r="H49" s="16" t="n">
        <v>58.59</v>
      </c>
      <c r="I49" s="16" t="n">
        <v>126.35</v>
      </c>
      <c r="J49" s="16" t="n">
        <v>128.3</v>
      </c>
      <c r="K49" s="18" t="n">
        <v>0</v>
      </c>
      <c r="L49" s="18" t="n">
        <v>0</v>
      </c>
    </row>
    <row r="50" ht="20" customHeight="1">
      <c r="A50" s="9" t="inlineStr">
        <is>
          <t>General</t>
        </is>
      </c>
      <c r="B50" s="9" t="inlineStr">
        <is>
          <t>500 conn (8 threads)</t>
        </is>
      </c>
      <c r="C50" s="19" t="inlineStr">
        <is>
          <t>1table</t>
        </is>
      </c>
      <c r="D50" s="11" t="n">
        <v>4100.48</v>
      </c>
      <c r="E50" s="11" t="n">
        <v>4646.94</v>
      </c>
      <c r="F50" s="17">
        <f>IF(D50&gt;0, (E50-D50)/D50, 0)</f>
        <v/>
      </c>
      <c r="G50" s="11" t="n">
        <v>123.88</v>
      </c>
      <c r="H50" s="11" t="n">
        <v>118.14</v>
      </c>
      <c r="I50" s="11" t="n">
        <v>225.88</v>
      </c>
      <c r="J50" s="11" t="n">
        <v>263.55</v>
      </c>
      <c r="K50" s="23" t="n">
        <v>6</v>
      </c>
      <c r="L50" s="23" t="n">
        <v>205</v>
      </c>
    </row>
    <row r="51" ht="20" customHeight="1">
      <c r="A51" s="14" t="inlineStr">
        <is>
          <t>General</t>
        </is>
      </c>
      <c r="B51" s="14" t="inlineStr">
        <is>
          <t>500 conn (8 threads)</t>
        </is>
      </c>
      <c r="C51" s="20" t="inlineStr">
        <is>
          <t>2join</t>
        </is>
      </c>
      <c r="D51" s="16" t="n">
        <v>3897.57</v>
      </c>
      <c r="E51" s="16" t="n">
        <v>4319.43</v>
      </c>
      <c r="F51" s="17">
        <f>IF(D51&gt;0, (E51-D51)/D51, 0)</f>
        <v/>
      </c>
      <c r="G51" s="16" t="n">
        <v>134.41</v>
      </c>
      <c r="H51" s="16" t="n">
        <v>142.45</v>
      </c>
      <c r="I51" s="16" t="n">
        <v>284.87</v>
      </c>
      <c r="J51" s="16" t="n">
        <v>424.99</v>
      </c>
      <c r="K51" s="23" t="n">
        <v>3</v>
      </c>
      <c r="L51" s="23" t="n">
        <v>255</v>
      </c>
    </row>
    <row r="52" ht="20" customHeight="1">
      <c r="A52" s="9" t="inlineStr">
        <is>
          <t>General</t>
        </is>
      </c>
      <c r="B52" s="9" t="inlineStr">
        <is>
          <t>500 conn (8 threads)</t>
        </is>
      </c>
      <c r="C52" s="19" t="inlineStr">
        <is>
          <t>3join</t>
        </is>
      </c>
      <c r="D52" s="11" t="n">
        <v>1657.1</v>
      </c>
      <c r="E52" s="11" t="n">
        <v>1700.94</v>
      </c>
      <c r="F52" s="17">
        <f>IF(D52&gt;0, (E52-D52)/D52, 0)</f>
        <v/>
      </c>
      <c r="G52" s="11" t="n">
        <v>328.9</v>
      </c>
      <c r="H52" s="11" t="n">
        <v>321.89</v>
      </c>
      <c r="I52" s="11" t="n">
        <v>850.4</v>
      </c>
      <c r="J52" s="11" t="n">
        <v>828.98</v>
      </c>
      <c r="K52" s="23" t="n">
        <v>3020</v>
      </c>
      <c r="L52" s="23" t="n">
        <v>1437</v>
      </c>
    </row>
    <row r="53" ht="20" customHeight="1">
      <c r="A53" s="14" t="inlineStr">
        <is>
          <t>General</t>
        </is>
      </c>
      <c r="B53" s="14" t="inlineStr">
        <is>
          <t>500 conn (8 threads)</t>
        </is>
      </c>
      <c r="C53" s="20" t="inlineStr">
        <is>
          <t>4join</t>
        </is>
      </c>
      <c r="D53" s="16" t="n">
        <v>1634.28</v>
      </c>
      <c r="E53" s="16" t="n">
        <v>1681.42</v>
      </c>
      <c r="F53" s="17">
        <f>IF(D53&gt;0, (E53-D53)/D53, 0)</f>
        <v/>
      </c>
      <c r="G53" s="16" t="n">
        <v>333.3</v>
      </c>
      <c r="H53" s="16" t="n">
        <v>325.69</v>
      </c>
      <c r="I53" s="16" t="n">
        <v>868.42</v>
      </c>
      <c r="J53" s="16" t="n">
        <v>845.6</v>
      </c>
      <c r="K53" s="23" t="n">
        <v>3775</v>
      </c>
      <c r="L53" s="23" t="n">
        <v>2214</v>
      </c>
    </row>
    <row r="54" ht="20" customHeight="1">
      <c r="A54" s="9" t="inlineStr">
        <is>
          <t>High</t>
        </is>
      </c>
      <c r="B54" s="9" t="inlineStr">
        <is>
          <t>2,000 conn (8 threads)</t>
        </is>
      </c>
      <c r="C54" s="19" t="inlineStr">
        <is>
          <t>1table</t>
        </is>
      </c>
      <c r="D54" s="11" t="n">
        <v>3963.58</v>
      </c>
      <c r="E54" s="11" t="n">
        <v>4508.28</v>
      </c>
      <c r="F54" s="17">
        <f>IF(D54&gt;0, (E54-D54)/D54, 0)</f>
        <v/>
      </c>
      <c r="G54" s="11" t="n">
        <v>411.44</v>
      </c>
      <c r="H54" s="11" t="n">
        <v>347.55</v>
      </c>
      <c r="I54" s="11" t="n">
        <v>1310.72</v>
      </c>
      <c r="J54" s="11" t="n">
        <v>1086.04</v>
      </c>
      <c r="K54" s="23" t="n">
        <v>570362</v>
      </c>
      <c r="L54" s="23" t="n">
        <v>429991</v>
      </c>
    </row>
    <row r="55" ht="20" customHeight="1">
      <c r="A55" s="14" t="inlineStr">
        <is>
          <t>High</t>
        </is>
      </c>
      <c r="B55" s="14" t="inlineStr">
        <is>
          <t>2,000 conn (8 threads)</t>
        </is>
      </c>
      <c r="C55" s="20" t="inlineStr">
        <is>
          <t>2join</t>
        </is>
      </c>
      <c r="D55" s="16" t="n">
        <v>3819.51</v>
      </c>
      <c r="E55" s="16" t="n">
        <v>4222.39</v>
      </c>
      <c r="F55" s="17">
        <f>IF(D55&gt;0, (E55-D55)/D55, 0)</f>
        <v/>
      </c>
      <c r="G55" s="16" t="n">
        <v>472.45</v>
      </c>
      <c r="H55" s="16" t="n">
        <v>353.99</v>
      </c>
      <c r="I55" s="16" t="n">
        <v>1395.81</v>
      </c>
      <c r="J55" s="16" t="n">
        <v>1332.75</v>
      </c>
      <c r="K55" s="23" t="n">
        <v>384944</v>
      </c>
      <c r="L55" s="23" t="n">
        <v>597517</v>
      </c>
    </row>
    <row r="56" ht="20" customHeight="1">
      <c r="A56" s="9" t="inlineStr">
        <is>
          <t>High</t>
        </is>
      </c>
      <c r="B56" s="9" t="inlineStr">
        <is>
          <t>2,000 conn (8 threads)</t>
        </is>
      </c>
      <c r="C56" s="19" t="inlineStr">
        <is>
          <t>3join</t>
        </is>
      </c>
      <c r="D56" s="11" t="n">
        <v>1673.33</v>
      </c>
      <c r="E56" s="11" t="n">
        <v>1746.64</v>
      </c>
      <c r="F56" s="17">
        <f>IF(D56&gt;0, (E56-D56)/D56, 0)</f>
        <v/>
      </c>
      <c r="G56" s="11" t="n">
        <v>645.03</v>
      </c>
      <c r="H56" s="11" t="n">
        <v>658.37</v>
      </c>
      <c r="I56" s="11" t="n">
        <v>1788.81</v>
      </c>
      <c r="J56" s="11" t="n">
        <v>1771.03</v>
      </c>
      <c r="K56" s="23" t="n">
        <v>757807</v>
      </c>
      <c r="L56" s="23" t="n">
        <v>733611</v>
      </c>
    </row>
    <row r="57" ht="20" customHeight="1">
      <c r="A57" s="14" t="inlineStr">
        <is>
          <t>High</t>
        </is>
      </c>
      <c r="B57" s="14" t="inlineStr">
        <is>
          <t>2,000 conn (8 threads)</t>
        </is>
      </c>
      <c r="C57" s="20" t="inlineStr">
        <is>
          <t>4join</t>
        </is>
      </c>
      <c r="D57" s="16" t="n">
        <v>1683.77</v>
      </c>
      <c r="E57" s="16" t="n">
        <v>1721.7</v>
      </c>
      <c r="F57" s="17">
        <f>IF(D57&gt;0, (E57-D57)/D57, 0)</f>
        <v/>
      </c>
      <c r="G57" s="16" t="n">
        <v>583.15</v>
      </c>
      <c r="H57" s="16" t="n">
        <v>632.51</v>
      </c>
      <c r="I57" s="16" t="n">
        <v>1713.88</v>
      </c>
      <c r="J57" s="16" t="n">
        <v>1758.53</v>
      </c>
      <c r="K57" s="23" t="n">
        <v>752569</v>
      </c>
      <c r="L57" s="23" t="n">
        <v>744769</v>
      </c>
    </row>
    <row r="58" ht="20" customHeight="1">
      <c r="A58" s="9" t="inlineStr">
        <is>
          <t>Stress</t>
        </is>
      </c>
      <c r="B58" s="9" t="inlineStr">
        <is>
          <t>10,000 conn (16 threads)</t>
        </is>
      </c>
      <c r="C58" s="19" t="inlineStr">
        <is>
          <t>1table</t>
        </is>
      </c>
      <c r="D58" s="11" t="n">
        <v>3561.39</v>
      </c>
      <c r="E58" s="11" t="n">
        <v>4117.97</v>
      </c>
      <c r="F58" s="17">
        <f>IF(D58&gt;0, (E58-D58)/D58, 0)</f>
        <v/>
      </c>
      <c r="G58" s="11" t="n">
        <v>1178.2</v>
      </c>
      <c r="H58" s="11" t="n">
        <v>1074.02</v>
      </c>
      <c r="I58" s="11" t="n">
        <v>1962</v>
      </c>
      <c r="J58" s="11" t="n">
        <v>1477.21</v>
      </c>
      <c r="K58" s="23" t="n">
        <v>19687612</v>
      </c>
      <c r="L58" s="23" t="n">
        <v>18232247</v>
      </c>
    </row>
    <row r="59" ht="20" customHeight="1">
      <c r="A59" s="14" t="inlineStr">
        <is>
          <t>Stress</t>
        </is>
      </c>
      <c r="B59" s="14" t="inlineStr">
        <is>
          <t>10,000 conn (16 threads)</t>
        </is>
      </c>
      <c r="C59" s="20" t="inlineStr">
        <is>
          <t>2join</t>
        </is>
      </c>
      <c r="D59" s="16" t="n">
        <v>3564.67</v>
      </c>
      <c r="E59" s="16" t="n">
        <v>3962.04</v>
      </c>
      <c r="F59" s="17">
        <f>IF(D59&gt;0, (E59-D59)/D59, 0)</f>
        <v/>
      </c>
      <c r="G59" s="16" t="n">
        <v>205.92</v>
      </c>
      <c r="H59" s="16" t="n">
        <v>245.95</v>
      </c>
      <c r="I59" s="16" t="n">
        <v>1169.41</v>
      </c>
      <c r="J59" s="16" t="n">
        <v>1279.37</v>
      </c>
      <c r="K59" s="23" t="n">
        <v>9198074</v>
      </c>
      <c r="L59" s="23" t="n">
        <v>10914743</v>
      </c>
    </row>
    <row r="60" ht="20" customHeight="1">
      <c r="A60" s="9" t="inlineStr">
        <is>
          <t>Stress</t>
        </is>
      </c>
      <c r="B60" s="9" t="inlineStr">
        <is>
          <t>10,000 conn (16 threads)</t>
        </is>
      </c>
      <c r="C60" s="19" t="inlineStr">
        <is>
          <t>3join</t>
        </is>
      </c>
      <c r="D60" s="11" t="n">
        <v>1651.09</v>
      </c>
      <c r="E60" s="11" t="n">
        <v>1667.1</v>
      </c>
      <c r="F60" s="21">
        <f>IF(D60&gt;0, (E60-D60)/D60, 0)</f>
        <v/>
      </c>
      <c r="G60" s="11" t="n">
        <v>171.61</v>
      </c>
      <c r="H60" s="11" t="n">
        <v>156.04</v>
      </c>
      <c r="I60" s="11" t="n">
        <v>579.59</v>
      </c>
      <c r="J60" s="11" t="n">
        <v>584.72</v>
      </c>
      <c r="K60" s="23" t="n">
        <v>6366276</v>
      </c>
      <c r="L60" s="23" t="n">
        <v>6766645</v>
      </c>
    </row>
    <row r="61" ht="20" customHeight="1">
      <c r="A61" s="14" t="inlineStr">
        <is>
          <t>Stress</t>
        </is>
      </c>
      <c r="B61" s="14" t="inlineStr">
        <is>
          <t>10,000 conn (16 threads)</t>
        </is>
      </c>
      <c r="C61" s="20" t="inlineStr">
        <is>
          <t>4join</t>
        </is>
      </c>
      <c r="D61" s="16" t="n">
        <v>1641.29</v>
      </c>
      <c r="E61" s="16" t="n">
        <v>1643.54</v>
      </c>
      <c r="F61" s="22">
        <f>IF(D61&gt;0, (E61-D61)/D61, 0)</f>
        <v/>
      </c>
      <c r="G61" s="16" t="n">
        <v>184.24</v>
      </c>
      <c r="H61" s="16" t="n">
        <v>176.01</v>
      </c>
      <c r="I61" s="16" t="n">
        <v>371.02</v>
      </c>
      <c r="J61" s="16" t="n">
        <v>651.54</v>
      </c>
      <c r="K61" s="23" t="n">
        <v>5730393</v>
      </c>
      <c r="L61" s="23" t="n">
        <v>6235002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9" t="inlineStr">
        <is>
          <t>1table</t>
        </is>
      </c>
      <c r="D78" s="11" t="n">
        <v>9324.9</v>
      </c>
      <c r="E78" s="11" t="n">
        <v>10087.07</v>
      </c>
      <c r="F78" s="17">
        <f>IF(D78&gt;0, (E78-D78)/D78, 0)</f>
        <v/>
      </c>
      <c r="G78" s="11" t="n">
        <v>2.31</v>
      </c>
      <c r="H78" s="11" t="n">
        <v>2.42</v>
      </c>
      <c r="I78" s="11" t="n">
        <v>4.11</v>
      </c>
      <c r="J78" s="11" t="n">
        <v>3.4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20" t="inlineStr">
        <is>
          <t>2table</t>
        </is>
      </c>
      <c r="D79" s="16" t="n">
        <v>5274.29</v>
      </c>
      <c r="E79" s="16" t="n">
        <v>5556.55</v>
      </c>
      <c r="F79" s="17">
        <f>IF(D79&gt;0, (E79-D79)/D79, 0)</f>
        <v/>
      </c>
      <c r="G79" s="16" t="n">
        <v>3.97</v>
      </c>
      <c r="H79" s="16" t="n">
        <v>3.85</v>
      </c>
      <c r="I79" s="16" t="n">
        <v>6.42</v>
      </c>
      <c r="J79" s="16" t="n">
        <v>5.75</v>
      </c>
      <c r="K79" s="18" t="n">
        <v>0</v>
      </c>
      <c r="L79" s="18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9" t="inlineStr">
        <is>
          <t>3table</t>
        </is>
      </c>
      <c r="D80" s="11" t="n">
        <v>4457.83</v>
      </c>
      <c r="E80" s="11" t="n">
        <v>4852.79</v>
      </c>
      <c r="F80" s="17">
        <f>IF(D80&gt;0, (E80-D80)/D80, 0)</f>
        <v/>
      </c>
      <c r="G80" s="11" t="n">
        <v>4.66</v>
      </c>
      <c r="H80" s="11" t="n">
        <v>4.31</v>
      </c>
      <c r="I80" s="11" t="n">
        <v>7.44</v>
      </c>
      <c r="J80" s="11" t="n">
        <v>6.31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20" t="inlineStr">
        <is>
          <t>4table</t>
        </is>
      </c>
      <c r="D81" s="16" t="n">
        <v>3360.52</v>
      </c>
      <c r="E81" s="16" t="n">
        <v>3651.39</v>
      </c>
      <c r="F81" s="17">
        <f>IF(D81&gt;0, (E81-D81)/D81, 0)</f>
        <v/>
      </c>
      <c r="G81" s="16" t="n">
        <v>6.45</v>
      </c>
      <c r="H81" s="16" t="n">
        <v>5.65</v>
      </c>
      <c r="I81" s="16" t="n">
        <v>9.93</v>
      </c>
      <c r="J81" s="16" t="n">
        <v>8.33</v>
      </c>
      <c r="K81" s="18" t="n">
        <v>0</v>
      </c>
      <c r="L81" s="18" t="n">
        <v>0</v>
      </c>
    </row>
    <row r="82" ht="20" customHeight="1">
      <c r="A82" s="9" t="inlineStr">
        <is>
          <t>Small</t>
        </is>
      </c>
      <c r="B82" s="9" t="inlineStr">
        <is>
          <t>100 conn (4 threads)</t>
        </is>
      </c>
      <c r="C82" s="19" t="inlineStr">
        <is>
          <t>1table</t>
        </is>
      </c>
      <c r="D82" s="11" t="n">
        <v>8698.629999999999</v>
      </c>
      <c r="E82" s="11" t="n">
        <v>13839.32</v>
      </c>
      <c r="F82" s="17">
        <f>IF(D82&gt;0, (E82-D82)/D82, 0)</f>
        <v/>
      </c>
      <c r="G82" s="11" t="n">
        <v>22.51</v>
      </c>
      <c r="H82" s="11" t="n">
        <v>8.800000000000001</v>
      </c>
      <c r="I82" s="11" t="n">
        <v>96.52</v>
      </c>
      <c r="J82" s="11" t="n">
        <v>20.59</v>
      </c>
      <c r="K82" s="13" t="n">
        <v>0</v>
      </c>
      <c r="L82" s="13" t="n">
        <v>0</v>
      </c>
    </row>
    <row r="83" ht="20" customHeight="1">
      <c r="A83" s="14" t="inlineStr">
        <is>
          <t>Small</t>
        </is>
      </c>
      <c r="B83" s="14" t="inlineStr">
        <is>
          <t>100 conn (4 threads)</t>
        </is>
      </c>
      <c r="C83" s="20" t="inlineStr">
        <is>
          <t>2table</t>
        </is>
      </c>
      <c r="D83" s="16" t="n">
        <v>6258.85</v>
      </c>
      <c r="E83" s="16" t="n">
        <v>7563.67</v>
      </c>
      <c r="F83" s="17">
        <f>IF(D83&gt;0, (E83-D83)/D83, 0)</f>
        <v/>
      </c>
      <c r="G83" s="16" t="n">
        <v>18.06</v>
      </c>
      <c r="H83" s="16" t="n">
        <v>14.51</v>
      </c>
      <c r="I83" s="16" t="n">
        <v>44.39</v>
      </c>
      <c r="J83" s="16" t="n">
        <v>32.41</v>
      </c>
      <c r="K83" s="18" t="n">
        <v>0</v>
      </c>
      <c r="L83" s="18" t="n">
        <v>0</v>
      </c>
    </row>
    <row r="84" ht="20" customHeight="1">
      <c r="A84" s="9" t="inlineStr">
        <is>
          <t>Small</t>
        </is>
      </c>
      <c r="B84" s="9" t="inlineStr">
        <is>
          <t>100 conn (4 threads)</t>
        </is>
      </c>
      <c r="C84" s="19" t="inlineStr">
        <is>
          <t>3table</t>
        </is>
      </c>
      <c r="D84" s="11" t="n">
        <v>5410.04</v>
      </c>
      <c r="E84" s="11" t="n">
        <v>6236.25</v>
      </c>
      <c r="F84" s="17">
        <f>IF(D84&gt;0, (E84-D84)/D84, 0)</f>
        <v/>
      </c>
      <c r="G84" s="11" t="n">
        <v>20.07</v>
      </c>
      <c r="H84" s="11" t="n">
        <v>17.41</v>
      </c>
      <c r="I84" s="11" t="n">
        <v>44.97</v>
      </c>
      <c r="J84" s="11" t="n">
        <v>38.3</v>
      </c>
      <c r="K84" s="13" t="n">
        <v>0</v>
      </c>
      <c r="L84" s="13" t="n">
        <v>0</v>
      </c>
    </row>
    <row r="85" ht="20" customHeight="1">
      <c r="A85" s="14" t="inlineStr">
        <is>
          <t>Small</t>
        </is>
      </c>
      <c r="B85" s="14" t="inlineStr">
        <is>
          <t>100 conn (4 threads)</t>
        </is>
      </c>
      <c r="C85" s="20" t="inlineStr">
        <is>
          <t>4table</t>
        </is>
      </c>
      <c r="D85" s="16" t="n">
        <v>3927</v>
      </c>
      <c r="E85" s="16" t="n">
        <v>4299.57</v>
      </c>
      <c r="F85" s="17">
        <f>IF(D85&gt;0, (E85-D85)/D85, 0)</f>
        <v/>
      </c>
      <c r="G85" s="16" t="n">
        <v>27.07</v>
      </c>
      <c r="H85" s="16" t="n">
        <v>24.83</v>
      </c>
      <c r="I85" s="16" t="n">
        <v>58.67</v>
      </c>
      <c r="J85" s="16" t="n">
        <v>54.7</v>
      </c>
      <c r="K85" s="18" t="n">
        <v>0</v>
      </c>
      <c r="L85" s="18" t="n">
        <v>0</v>
      </c>
    </row>
    <row r="86" ht="20" customHeight="1">
      <c r="A86" s="9" t="inlineStr">
        <is>
          <t>General</t>
        </is>
      </c>
      <c r="B86" s="9" t="inlineStr">
        <is>
          <t>500 conn (8 threads)</t>
        </is>
      </c>
      <c r="C86" s="19" t="inlineStr">
        <is>
          <t>1table</t>
        </is>
      </c>
      <c r="D86" s="11" t="n">
        <v>7384.74</v>
      </c>
      <c r="E86" s="11" t="n">
        <v>8950.27</v>
      </c>
      <c r="F86" s="17">
        <f>IF(D86&gt;0, (E86-D86)/D86, 0)</f>
        <v/>
      </c>
      <c r="G86" s="11" t="n">
        <v>202.47</v>
      </c>
      <c r="H86" s="11" t="n">
        <v>171.07</v>
      </c>
      <c r="I86" s="11" t="n">
        <v>925.89</v>
      </c>
      <c r="J86" s="11" t="n">
        <v>771.48</v>
      </c>
      <c r="K86" s="23" t="n">
        <v>14776</v>
      </c>
      <c r="L86" s="23" t="n">
        <v>4819</v>
      </c>
    </row>
    <row r="87" ht="20" customHeight="1">
      <c r="A87" s="14" t="inlineStr">
        <is>
          <t>General</t>
        </is>
      </c>
      <c r="B87" s="14" t="inlineStr">
        <is>
          <t>500 conn (8 threads)</t>
        </is>
      </c>
      <c r="C87" s="20" t="inlineStr">
        <is>
          <t>2table</t>
        </is>
      </c>
      <c r="D87" s="16" t="n">
        <v>4952.12</v>
      </c>
      <c r="E87" s="16" t="n">
        <v>5612.02</v>
      </c>
      <c r="F87" s="17">
        <f>IF(D87&gt;0, (E87-D87)/D87, 0)</f>
        <v/>
      </c>
      <c r="G87" s="16" t="n">
        <v>196.89</v>
      </c>
      <c r="H87" s="16" t="n">
        <v>164.66</v>
      </c>
      <c r="I87" s="16" t="n">
        <v>837.21</v>
      </c>
      <c r="J87" s="16" t="n">
        <v>676.5599999999999</v>
      </c>
      <c r="K87" s="23" t="n">
        <v>7519</v>
      </c>
      <c r="L87" s="23" t="n">
        <v>2012</v>
      </c>
    </row>
    <row r="88" ht="20" customHeight="1">
      <c r="A88" s="9" t="inlineStr">
        <is>
          <t>General</t>
        </is>
      </c>
      <c r="B88" s="9" t="inlineStr">
        <is>
          <t>500 conn (8 threads)</t>
        </is>
      </c>
      <c r="C88" s="19" t="inlineStr">
        <is>
          <t>3table</t>
        </is>
      </c>
      <c r="D88" s="11" t="n">
        <v>4263.4</v>
      </c>
      <c r="E88" s="11" t="n">
        <v>4655.97</v>
      </c>
      <c r="F88" s="17">
        <f>IF(D88&gt;0, (E88-D88)/D88, 0)</f>
        <v/>
      </c>
      <c r="G88" s="11" t="n">
        <v>194</v>
      </c>
      <c r="H88" s="11" t="n">
        <v>163.46</v>
      </c>
      <c r="I88" s="11" t="n">
        <v>774.13</v>
      </c>
      <c r="J88" s="11" t="n">
        <v>607.6799999999999</v>
      </c>
      <c r="K88" s="23" t="n">
        <v>5172</v>
      </c>
      <c r="L88" s="23" t="n">
        <v>1203</v>
      </c>
    </row>
    <row r="89" ht="20" customHeight="1">
      <c r="A89" s="14" t="inlineStr">
        <is>
          <t>General</t>
        </is>
      </c>
      <c r="B89" s="14" t="inlineStr">
        <is>
          <t>500 conn (8 threads)</t>
        </is>
      </c>
      <c r="C89" s="20" t="inlineStr">
        <is>
          <t>4table</t>
        </is>
      </c>
      <c r="D89" s="16" t="n">
        <v>2932.88</v>
      </c>
      <c r="E89" s="16" t="n">
        <v>3155.03</v>
      </c>
      <c r="F89" s="17">
        <f>IF(D89&gt;0, (E89-D89)/D89, 0)</f>
        <v/>
      </c>
      <c r="G89" s="16" t="n">
        <v>255.98</v>
      </c>
      <c r="H89" s="16" t="n">
        <v>239.71</v>
      </c>
      <c r="I89" s="16" t="n">
        <v>1035.98</v>
      </c>
      <c r="J89" s="16" t="n">
        <v>935.54</v>
      </c>
      <c r="K89" s="23" t="n">
        <v>23500</v>
      </c>
      <c r="L89" s="23" t="n">
        <v>12612</v>
      </c>
    </row>
    <row r="90" ht="20" customHeight="1">
      <c r="A90" s="9" t="inlineStr">
        <is>
          <t>High</t>
        </is>
      </c>
      <c r="B90" s="9" t="inlineStr">
        <is>
          <t>2,000 conn (8 threads)</t>
        </is>
      </c>
      <c r="C90" s="19" t="inlineStr">
        <is>
          <t>1table</t>
        </is>
      </c>
      <c r="D90" s="11" t="n">
        <v>7091.58</v>
      </c>
      <c r="E90" s="11" t="n">
        <v>8728.6</v>
      </c>
      <c r="F90" s="17">
        <f>IF(D90&gt;0, (E90-D90)/D90, 0)</f>
        <v/>
      </c>
      <c r="G90" s="11" t="n">
        <v>325.16</v>
      </c>
      <c r="H90" s="11" t="n">
        <v>277.94</v>
      </c>
      <c r="I90" s="11" t="n">
        <v>945.62</v>
      </c>
      <c r="J90" s="11" t="n">
        <v>821.12</v>
      </c>
      <c r="K90" s="23" t="n">
        <v>65027</v>
      </c>
      <c r="L90" s="23" t="n">
        <v>21979</v>
      </c>
    </row>
    <row r="91" ht="20" customHeight="1">
      <c r="A91" s="14" t="inlineStr">
        <is>
          <t>High</t>
        </is>
      </c>
      <c r="B91" s="14" t="inlineStr">
        <is>
          <t>2,000 conn (8 threads)</t>
        </is>
      </c>
      <c r="C91" s="20" t="inlineStr">
        <is>
          <t>2table</t>
        </is>
      </c>
      <c r="D91" s="16" t="n">
        <v>4826.72</v>
      </c>
      <c r="E91" s="16" t="n">
        <v>5453.79</v>
      </c>
      <c r="F91" s="17">
        <f>IF(D91&gt;0, (E91-D91)/D91, 0)</f>
        <v/>
      </c>
      <c r="G91" s="16" t="n">
        <v>440.95</v>
      </c>
      <c r="H91" s="16" t="n">
        <v>399.35</v>
      </c>
      <c r="I91" s="16" t="n">
        <v>1122.96</v>
      </c>
      <c r="J91" s="16" t="n">
        <v>1022.8</v>
      </c>
      <c r="K91" s="23" t="n">
        <v>64129</v>
      </c>
      <c r="L91" s="23" t="n">
        <v>28847</v>
      </c>
    </row>
    <row r="92" ht="20" customHeight="1">
      <c r="A92" s="9" t="inlineStr">
        <is>
          <t>High</t>
        </is>
      </c>
      <c r="B92" s="9" t="inlineStr">
        <is>
          <t>2,000 conn (8 threads)</t>
        </is>
      </c>
      <c r="C92" s="19" t="inlineStr">
        <is>
          <t>3table</t>
        </is>
      </c>
      <c r="D92" s="11" t="n">
        <v>4170.34</v>
      </c>
      <c r="E92" s="11" t="n">
        <v>4548.17</v>
      </c>
      <c r="F92" s="17">
        <f>IF(D92&gt;0, (E92-D92)/D92, 0)</f>
        <v/>
      </c>
      <c r="G92" s="11" t="n">
        <v>496.05</v>
      </c>
      <c r="H92" s="11" t="n">
        <v>463.02</v>
      </c>
      <c r="I92" s="11" t="n">
        <v>1211.24</v>
      </c>
      <c r="J92" s="11" t="n">
        <v>1122.53</v>
      </c>
      <c r="K92" s="23" t="n">
        <v>76588</v>
      </c>
      <c r="L92" s="23" t="n">
        <v>39318</v>
      </c>
    </row>
    <row r="93" ht="20" customHeight="1">
      <c r="A93" s="14" t="inlineStr">
        <is>
          <t>High</t>
        </is>
      </c>
      <c r="B93" s="14" t="inlineStr">
        <is>
          <t>2,000 conn (8 threads)</t>
        </is>
      </c>
      <c r="C93" s="20" t="inlineStr">
        <is>
          <t>4table</t>
        </is>
      </c>
      <c r="D93" s="16" t="n">
        <v>2896.76</v>
      </c>
      <c r="E93" s="16" t="n">
        <v>3068.06</v>
      </c>
      <c r="F93" s="17">
        <f>IF(D93&gt;0, (E93-D93)/D93, 0)</f>
        <v/>
      </c>
      <c r="G93" s="16" t="n">
        <v>646.6</v>
      </c>
      <c r="H93" s="16" t="n">
        <v>628</v>
      </c>
      <c r="I93" s="16" t="n">
        <v>1451.61</v>
      </c>
      <c r="J93" s="16" t="n">
        <v>1389.48</v>
      </c>
      <c r="K93" s="23" t="n">
        <v>207120</v>
      </c>
      <c r="L93" s="23" t="n">
        <v>157846</v>
      </c>
    </row>
    <row r="94" ht="20" customHeight="1">
      <c r="A94" s="9" t="inlineStr">
        <is>
          <t>Stress</t>
        </is>
      </c>
      <c r="B94" s="9" t="inlineStr">
        <is>
          <t>10,000 conn (16 threads)</t>
        </is>
      </c>
      <c r="C94" s="19" t="inlineStr">
        <is>
          <t>1table</t>
        </is>
      </c>
      <c r="D94" s="11" t="n">
        <v>6759.35</v>
      </c>
      <c r="E94" s="11" t="n">
        <v>8641.09</v>
      </c>
      <c r="F94" s="17">
        <f>IF(D94&gt;0, (E94-D94)/D94, 0)</f>
        <v/>
      </c>
      <c r="G94" s="11" t="n">
        <v>812.0700000000001</v>
      </c>
      <c r="H94" s="11" t="n">
        <v>540.45</v>
      </c>
      <c r="I94" s="11" t="n">
        <v>1777.54</v>
      </c>
      <c r="J94" s="11" t="n">
        <v>1544.14</v>
      </c>
      <c r="K94" s="23" t="n">
        <v>9930089</v>
      </c>
      <c r="L94" s="23" t="n">
        <v>11396035</v>
      </c>
    </row>
    <row r="95" ht="20" customHeight="1">
      <c r="A95" s="14" t="inlineStr">
        <is>
          <t>Stress</t>
        </is>
      </c>
      <c r="B95" s="14" t="inlineStr">
        <is>
          <t>10,000 conn (16 threads)</t>
        </is>
      </c>
      <c r="C95" s="20" t="inlineStr">
        <is>
          <t>2table</t>
        </is>
      </c>
      <c r="D95" s="16" t="n">
        <v>4730.62</v>
      </c>
      <c r="E95" s="16" t="n">
        <v>5488.15</v>
      </c>
      <c r="F95" s="17">
        <f>IF(D95&gt;0, (E95-D95)/D95, 0)</f>
        <v/>
      </c>
      <c r="G95" s="16" t="n">
        <v>667.74</v>
      </c>
      <c r="H95" s="16" t="n">
        <v>768.85</v>
      </c>
      <c r="I95" s="16" t="n">
        <v>1940.59</v>
      </c>
      <c r="J95" s="16" t="n">
        <v>1915.8</v>
      </c>
      <c r="K95" s="23" t="n">
        <v>13844249</v>
      </c>
      <c r="L95" s="23" t="n">
        <v>11436935</v>
      </c>
    </row>
    <row r="96" ht="20" customHeight="1">
      <c r="A96" s="9" t="inlineStr">
        <is>
          <t>Stress</t>
        </is>
      </c>
      <c r="B96" s="9" t="inlineStr">
        <is>
          <t>10,000 conn (16 threads)</t>
        </is>
      </c>
      <c r="C96" s="19" t="inlineStr">
        <is>
          <t>3table</t>
        </is>
      </c>
      <c r="D96" s="11" t="n">
        <v>4106.6</v>
      </c>
      <c r="E96" s="11" t="n">
        <v>4571.22</v>
      </c>
      <c r="F96" s="17">
        <f>IF(D96&gt;0, (E96-D96)/D96, 0)</f>
        <v/>
      </c>
      <c r="G96" s="11" t="n">
        <v>402.45</v>
      </c>
      <c r="H96" s="11" t="n">
        <v>534.55</v>
      </c>
      <c r="I96" s="11" t="n">
        <v>1895.41</v>
      </c>
      <c r="J96" s="11" t="n">
        <v>1956.34</v>
      </c>
      <c r="K96" s="23" t="n">
        <v>15235684</v>
      </c>
      <c r="L96" s="23" t="n">
        <v>15212131</v>
      </c>
    </row>
    <row r="97" ht="20" customHeight="1">
      <c r="A97" s="14" t="inlineStr">
        <is>
          <t>Stress</t>
        </is>
      </c>
      <c r="B97" s="14" t="inlineStr">
        <is>
          <t>10,000 conn (16 threads)</t>
        </is>
      </c>
      <c r="C97" s="20" t="inlineStr">
        <is>
          <t>4table</t>
        </is>
      </c>
      <c r="D97" s="16" t="n">
        <v>2874.17</v>
      </c>
      <c r="E97" s="16" t="n">
        <v>3053.83</v>
      </c>
      <c r="F97" s="17">
        <f>IF(D97&gt;0, (E97-D97)/D97, 0)</f>
        <v/>
      </c>
      <c r="G97" s="16" t="n">
        <v>150.05</v>
      </c>
      <c r="H97" s="16" t="n">
        <v>142.18</v>
      </c>
      <c r="I97" s="16" t="n">
        <v>716.75</v>
      </c>
      <c r="J97" s="16" t="n">
        <v>633</v>
      </c>
      <c r="K97" s="23" t="n">
        <v>13106737</v>
      </c>
      <c r="L97" s="23" t="n">
        <v>13761138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2026-09-15T07:31:22+00:00Z</dcterms:created>
  <dcterms:modified xmlns:dcterms="http://purl.org/dc/terms/" xmlns:xsi="http://www.w3.org/2001/XMLSchema-instance" xsi:type="dcterms:W3CDTF">2026-09-15T07:31:23+00:00Z</dcterms:modified>
</cp:coreProperties>
</file>