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Dashboard" sheetId="1" state="visible" r:id="rId1"/>
    <sheet name="Python" sheetId="2" state="visible" r:id="rId2"/>
    <sheet name="Node.js" sheetId="3" state="visible" r:id="rId3"/>
    <sheet name="PHP" sheetId="4" state="visible" r:id="rId4"/>
    <sheet name="Go" sheetId="5" state="visible" r:id="rId5"/>
    <sheet name="Java" sheetId="6" state="visible" r:id="rId6"/>
    <sheet name="Python (opt.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1E293B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3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4" fontId="8" fillId="6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3" fontId="8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4" fontId="8" fillId="8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Indexed Read Throughput: Docker vs Bare Metal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Dashboard'!E14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Dashboard'!$E$15:$E$19</f>
            </numRef>
          </val>
        </ser>
        <ser>
          <idx val="1"/>
          <order val="1"/>
          <tx>
            <strRef>
              <f>'Overview Dashboard'!F14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 / Second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Tail Latency (P95 ms): Docker vs Bare Metal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 Dashboard'!J14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Dashboard'!$J$15:$J$19</f>
            </numRef>
          </val>
        </ser>
        <ser>
          <idx val="1"/>
          <order val="1"/>
          <tx>
            <strRef>
              <f>'Overview Dashboard'!K14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'Overview Dashboard'!$C$15:$C$19</f>
            </numRef>
          </cat>
          <val>
            <numRef>
              <f>'Overview Dashboard'!$K$15:$K$19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Framework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'Python'!$C$6:$C$9</f>
            </numRef>
          </cat>
          <val>
            <numRef>
              <f>'Python'!$D$6:$D$9</f>
            </numRef>
          </val>
        </ser>
        <ser>
          <idx val="1"/>
          <order val="1"/>
          <tx>
            <strRef>
              <f>'Python'!E5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'Python'!$C$6:$C$9</f>
            </numRef>
          </cat>
          <val>
            <numRef>
              <f>'Python'!$E$6:$E$9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'Python'!$C$6:$C$9</f>
            </numRef>
          </cat>
          <val>
            <numRef>
              <f>'Python'!$I$6:$I$9</f>
            </numRef>
          </val>
        </ser>
        <ser>
          <idx val="1"/>
          <order val="1"/>
          <tx>
            <strRef>
              <f>'Python'!J5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'Python'!$C$6:$C$9</f>
            </numRef>
          </cat>
          <val>
            <numRef>
              <f>'Python'!$J$6:$J$9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'Python'!$C$42:$C$45</f>
            </numRef>
          </cat>
          <val>
            <numRef>
              <f>'Python'!$D$42:$D$45</f>
            </numRef>
          </val>
        </ser>
        <ser>
          <idx val="1"/>
          <order val="1"/>
          <tx>
            <strRef>
              <f>'Python'!E41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'Python'!$C$42:$C$45</f>
            </numRef>
          </cat>
          <val>
            <numRef>
              <f>'Python'!$E$42:$E$45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'Python'!$C$42:$C$45</f>
            </numRef>
          </cat>
          <val>
            <numRef>
              <f>'Python'!$I$42:$I$45</f>
            </numRef>
          </val>
        </ser>
        <ser>
          <idx val="1"/>
          <order val="1"/>
          <tx>
            <strRef>
              <f>'Python'!J41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'Python'!$C$42:$C$45</f>
            </numRef>
          </cat>
          <val>
            <numRef>
              <f>'Python'!$J$42:$J$45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'Python'!$C$78:$C$81</f>
            </numRef>
          </cat>
          <val>
            <numRef>
              <f>'Python'!$D$78:$D$81</f>
            </numRef>
          </val>
        </ser>
        <ser>
          <idx val="1"/>
          <order val="1"/>
          <tx>
            <strRef>
              <f>'Python'!E77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'Python'!$C$78:$C$81</f>
            </numRef>
          </cat>
          <val>
            <numRef>
              <f>'Python'!$E$78:$E$81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'Python'!$C$78:$C$81</f>
            </numRef>
          </cat>
          <val>
            <numRef>
              <f>'Python'!$I$78:$I$81</f>
            </numRef>
          </val>
        </ser>
        <ser>
          <idx val="1"/>
          <order val="1"/>
          <tx>
            <strRef>
              <f>'Python'!J77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'Python'!$C$78:$C$81</f>
            </numRef>
          </cat>
          <val>
            <numRef>
              <f>'Python'!$J$78:$J$81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'Node.js'!$C$6:$C$9</f>
            </numRef>
          </cat>
          <val>
            <numRef>
              <f>'Node.js'!$D$6:$D$9</f>
            </numRef>
          </val>
        </ser>
        <ser>
          <idx val="1"/>
          <order val="1"/>
          <tx>
            <strRef>
              <f>'Node.js'!E5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'Node.js'!$C$6:$C$9</f>
            </numRef>
          </cat>
          <val>
            <numRef>
              <f>'Node.js'!$E$6:$E$9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'Node.js'!$C$6:$C$9</f>
            </numRef>
          </cat>
          <val>
            <numRef>
              <f>'Node.js'!$I$6:$I$9</f>
            </numRef>
          </val>
        </ser>
        <ser>
          <idx val="1"/>
          <order val="1"/>
          <tx>
            <strRef>
              <f>'Node.js'!J5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'Node.js'!$C$6:$C$9</f>
            </numRef>
          </cat>
          <val>
            <numRef>
              <f>'Node.js'!$J$6:$J$9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'Node.js'!$C$42:$C$45</f>
            </numRef>
          </cat>
          <val>
            <numRef>
              <f>'Node.js'!$D$42:$D$45</f>
            </numRef>
          </val>
        </ser>
        <ser>
          <idx val="1"/>
          <order val="1"/>
          <tx>
            <strRef>
              <f>'Node.js'!E41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'Node.js'!$C$42:$C$45</f>
            </numRef>
          </cat>
          <val>
            <numRef>
              <f>'Node.js'!$E$42:$E$45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'Node.js'!$C$42:$C$45</f>
            </numRef>
          </cat>
          <val>
            <numRef>
              <f>'Node.js'!$I$42:$I$45</f>
            </numRef>
          </val>
        </ser>
        <ser>
          <idx val="1"/>
          <order val="1"/>
          <tx>
            <strRef>
              <f>'Node.js'!J41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'Node.js'!$C$42:$C$45</f>
            </numRef>
          </cat>
          <val>
            <numRef>
              <f>'Node.js'!$J$42:$J$45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'Node.js'!$C$78:$C$81</f>
            </numRef>
          </cat>
          <val>
            <numRef>
              <f>'Node.js'!$D$78:$D$81</f>
            </numRef>
          </val>
        </ser>
        <ser>
          <idx val="1"/>
          <order val="1"/>
          <tx>
            <strRef>
              <f>'Node.js'!E77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'Node.js'!$C$78:$C$81</f>
            </numRef>
          </cat>
          <val>
            <numRef>
              <f>'Node.js'!$E$78:$E$81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'Node.js'!I77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'Node.js'!$C$78:$C$81</f>
            </numRef>
          </cat>
          <val>
            <numRef>
              <f>'Node.js'!$I$78:$I$81</f>
            </numRef>
          </val>
        </ser>
        <ser>
          <idx val="1"/>
          <order val="1"/>
          <tx>
            <strRef>
              <f>'Node.js'!J77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'Node.js'!$C$78:$C$81</f>
            </numRef>
          </cat>
          <val>
            <numRef>
              <f>'Node.js'!$J$78:$J$81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'PHP'!$C$6:$C$9</f>
            </numRef>
          </cat>
          <val>
            <numRef>
              <f>'PHP'!$D$6:$D$9</f>
            </numRef>
          </val>
        </ser>
        <ser>
          <idx val="1"/>
          <order val="1"/>
          <tx>
            <strRef>
              <f>'PHP'!E5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'PHP'!$C$6:$C$9</f>
            </numRef>
          </cat>
          <val>
            <numRef>
              <f>'PHP'!$E$6:$E$9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'PHP'!$C$6:$C$9</f>
            </numRef>
          </cat>
          <val>
            <numRef>
              <f>'PHP'!$I$6:$I$9</f>
            </numRef>
          </val>
        </ser>
        <ser>
          <idx val="1"/>
          <order val="1"/>
          <tx>
            <strRef>
              <f>'PHP'!J5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'PHP'!$C$6:$C$9</f>
            </numRef>
          </cat>
          <val>
            <numRef>
              <f>'PHP'!$J$6:$J$9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'PHP'!$C$42:$C$45</f>
            </numRef>
          </cat>
          <val>
            <numRef>
              <f>'PHP'!$D$42:$D$45</f>
            </numRef>
          </val>
        </ser>
        <ser>
          <idx val="1"/>
          <order val="1"/>
          <tx>
            <strRef>
              <f>'PHP'!E41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'PHP'!$C$42:$C$45</f>
            </numRef>
          </cat>
          <val>
            <numRef>
              <f>'PHP'!$E$42:$E$45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'PHP'!$C$42:$C$45</f>
            </numRef>
          </cat>
          <val>
            <numRef>
              <f>'PHP'!$I$42:$I$45</f>
            </numRef>
          </val>
        </ser>
        <ser>
          <idx val="1"/>
          <order val="1"/>
          <tx>
            <strRef>
              <f>'PHP'!J41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'PHP'!$C$42:$C$45</f>
            </numRef>
          </cat>
          <val>
            <numRef>
              <f>'PHP'!$J$42:$J$45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'PHP'!$C$78:$C$81</f>
            </numRef>
          </cat>
          <val>
            <numRef>
              <f>'PHP'!$D$78:$D$81</f>
            </numRef>
          </val>
        </ser>
        <ser>
          <idx val="1"/>
          <order val="1"/>
          <tx>
            <strRef>
              <f>'PHP'!E77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'PHP'!$C$78:$C$81</f>
            </numRef>
          </cat>
          <val>
            <numRef>
              <f>'PHP'!$E$78:$E$81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'PHP'!I77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'PHP'!$C$78:$C$81</f>
            </numRef>
          </cat>
          <val>
            <numRef>
              <f>'PHP'!$I$78:$I$81</f>
            </numRef>
          </val>
        </ser>
        <ser>
          <idx val="1"/>
          <order val="1"/>
          <tx>
            <strRef>
              <f>'PHP'!J77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'PHP'!$C$78:$C$81</f>
            </numRef>
          </cat>
          <val>
            <numRef>
              <f>'PHP'!$J$78:$J$81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'Go'!$C$6:$C$9</f>
            </numRef>
          </cat>
          <val>
            <numRef>
              <f>'Go'!$D$6:$D$9</f>
            </numRef>
          </val>
        </ser>
        <ser>
          <idx val="1"/>
          <order val="1"/>
          <tx>
            <strRef>
              <f>'Go'!E5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'Go'!$C$6:$C$9</f>
            </numRef>
          </cat>
          <val>
            <numRef>
              <f>'Go'!$E$6:$E$9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'Go'!$C$6:$C$9</f>
            </numRef>
          </cat>
          <val>
            <numRef>
              <f>'Go'!$I$6:$I$9</f>
            </numRef>
          </val>
        </ser>
        <ser>
          <idx val="1"/>
          <order val="1"/>
          <tx>
            <strRef>
              <f>'Go'!J5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'Go'!$C$6:$C$9</f>
            </numRef>
          </cat>
          <val>
            <numRef>
              <f>'Go'!$J$6:$J$9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'Go'!$C$42:$C$45</f>
            </numRef>
          </cat>
          <val>
            <numRef>
              <f>'Go'!$D$42:$D$45</f>
            </numRef>
          </val>
        </ser>
        <ser>
          <idx val="1"/>
          <order val="1"/>
          <tx>
            <strRef>
              <f>'Go'!E41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'Go'!$C$42:$C$45</f>
            </numRef>
          </cat>
          <val>
            <numRef>
              <f>'Go'!$E$42:$E$45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'Go'!$C$42:$C$45</f>
            </numRef>
          </cat>
          <val>
            <numRef>
              <f>'Go'!$I$42:$I$45</f>
            </numRef>
          </val>
        </ser>
        <ser>
          <idx val="1"/>
          <order val="1"/>
          <tx>
            <strRef>
              <f>'Go'!J41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'Go'!$C$42:$C$45</f>
            </numRef>
          </cat>
          <val>
            <numRef>
              <f>'Go'!$J$42:$J$45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'Go'!$C$78:$C$81</f>
            </numRef>
          </cat>
          <val>
            <numRef>
              <f>'Go'!$D$78:$D$81</f>
            </numRef>
          </val>
        </ser>
        <ser>
          <idx val="1"/>
          <order val="1"/>
          <tx>
            <strRef>
              <f>'Go'!E77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'Go'!$C$78:$C$81</f>
            </numRef>
          </cat>
          <val>
            <numRef>
              <f>'Go'!$E$78:$E$81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'Go'!I77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'Go'!$C$78:$C$81</f>
            </numRef>
          </cat>
          <val>
            <numRef>
              <f>'Go'!$I$78:$I$81</f>
            </numRef>
          </val>
        </ser>
        <ser>
          <idx val="1"/>
          <order val="1"/>
          <tx>
            <strRef>
              <f>'Go'!J77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'Go'!$C$78:$C$81</f>
            </numRef>
          </cat>
          <val>
            <numRef>
              <f>'Go'!$J$78:$J$81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'Java'!$C$6:$C$9</f>
            </numRef>
          </cat>
          <val>
            <numRef>
              <f>'Java'!$D$6:$D$9</f>
            </numRef>
          </val>
        </ser>
        <ser>
          <idx val="1"/>
          <order val="1"/>
          <tx>
            <strRef>
              <f>'Java'!E5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'Java'!$C$6:$C$9</f>
            </numRef>
          </cat>
          <val>
            <numRef>
              <f>'Java'!$E$6:$E$9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'Java'!$C$6:$C$9</f>
            </numRef>
          </cat>
          <val>
            <numRef>
              <f>'Java'!$I$6:$I$9</f>
            </numRef>
          </val>
        </ser>
        <ser>
          <idx val="1"/>
          <order val="1"/>
          <tx>
            <strRef>
              <f>'Java'!J5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'Java'!$C$6:$C$9</f>
            </numRef>
          </cat>
          <val>
            <numRef>
              <f>'Java'!$J$6:$J$9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'Java'!$C$42:$C$45</f>
            </numRef>
          </cat>
          <val>
            <numRef>
              <f>'Java'!$D$42:$D$45</f>
            </numRef>
          </val>
        </ser>
        <ser>
          <idx val="1"/>
          <order val="1"/>
          <tx>
            <strRef>
              <f>'Java'!E41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'Java'!$C$42:$C$45</f>
            </numRef>
          </cat>
          <val>
            <numRef>
              <f>'Java'!$E$42:$E$45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'Java'!$C$42:$C$45</f>
            </numRef>
          </cat>
          <val>
            <numRef>
              <f>'Java'!$I$42:$I$45</f>
            </numRef>
          </val>
        </ser>
        <ser>
          <idx val="1"/>
          <order val="1"/>
          <tx>
            <strRef>
              <f>'Java'!J41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'Java'!$C$42:$C$45</f>
            </numRef>
          </cat>
          <val>
            <numRef>
              <f>'Java'!$J$42:$J$45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'Java'!$C$78:$C$81</f>
            </numRef>
          </cat>
          <val>
            <numRef>
              <f>'Java'!$D$78:$D$81</f>
            </numRef>
          </val>
        </ser>
        <ser>
          <idx val="1"/>
          <order val="1"/>
          <tx>
            <strRef>
              <f>'Java'!E77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'Java'!$C$78:$C$81</f>
            </numRef>
          </cat>
          <val>
            <numRef>
              <f>'Java'!$E$78:$E$81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'Java'!I77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'Java'!$C$78:$C$81</f>
            </numRef>
          </cat>
          <val>
            <numRef>
              <f>'Java'!$I$78:$I$81</f>
            </numRef>
          </val>
        </ser>
        <ser>
          <idx val="1"/>
          <order val="1"/>
          <tx>
            <strRef>
              <f>'Java'!J77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'Java'!$C$78:$C$81</f>
            </numRef>
          </cat>
          <val>
            <numRef>
              <f>'Java'!$J$78:$J$81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(opt.)'!$C$6:$C$9</f>
            </numRef>
          </cat>
          <val>
            <numRef>
              <f>'Python (opt.)'!$D$6:$D$9</f>
            </numRef>
          </val>
        </ser>
        <ser>
          <idx val="1"/>
          <order val="1"/>
          <tx>
            <strRef>
              <f>'Python (opt.)'!E5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(opt.)'!$C$6:$C$9</f>
            </numRef>
          </cat>
          <val>
            <numRef>
              <f>'Python (opt.)'!$E$6:$E$9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No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(opt.)'!I5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(opt.)'!$C$6:$C$9</f>
            </numRef>
          </cat>
          <val>
            <numRef>
              <f>'Python (opt.)'!$I$6:$I$9</f>
            </numRef>
          </val>
        </ser>
        <ser>
          <idx val="1"/>
          <order val="1"/>
          <tx>
            <strRef>
              <f>'Python (opt.)'!J5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(opt.)'!$C$6:$C$9</f>
            </numRef>
          </cat>
          <val>
            <numRef>
              <f>'Python (opt.)'!$J$6:$J$9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(opt.)'!$C$42:$C$45</f>
            </numRef>
          </cat>
          <val>
            <numRef>
              <f>'Python (opt.)'!$D$42:$D$45</f>
            </numRef>
          </val>
        </ser>
        <ser>
          <idx val="1"/>
          <order val="1"/>
          <tx>
            <strRef>
              <f>'Python (opt.)'!E41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(opt.)'!$C$42:$C$45</f>
            </numRef>
          </cat>
          <val>
            <numRef>
              <f>'Python (opt.)'!$E$42:$E$45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Get With Index: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(opt.)'!I41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(opt.)'!$C$42:$C$45</f>
            </numRef>
          </cat>
          <val>
            <numRef>
              <f>'Python (opt.)'!$I$42:$I$45</f>
            </numRef>
          </val>
        </ser>
        <ser>
          <idx val="1"/>
          <order val="1"/>
          <tx>
            <strRef>
              <f>'Python (opt.)'!J41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(opt.)'!$C$42:$C$45</f>
            </numRef>
          </cat>
          <val>
            <numRef>
              <f>'Python (opt.)'!$J$42:$J$45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Throughput (Req/sec)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(opt.)'!D77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(opt.)'!$C$78:$C$81</f>
            </numRef>
          </cat>
          <val>
            <numRef>
              <f>'Python (opt.)'!$D$78:$D$81</f>
            </numRef>
          </val>
        </ser>
        <ser>
          <idx val="1"/>
          <order val="1"/>
          <tx>
            <strRef>
              <f>'Python (opt.)'!E77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(opt.)'!$C$78:$C$81</f>
            </numRef>
          </cat>
          <val>
            <numRef>
              <f>'Python (opt.)'!$E$78:$E$81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 / 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Post: Tail Latency P95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'Python (opt.)'!I77</f>
            </strRef>
          </tx>
          <spPr>
            <a:solidFill>
              <a:srgbClr val="0284C7"/>
            </a:solidFill>
            <a:ln>
              <a:prstDash val="solid"/>
            </a:ln>
          </spPr>
          <cat>
            <numRef>
              <f>'Python (opt.)'!$C$78:$C$81</f>
            </numRef>
          </cat>
          <val>
            <numRef>
              <f>'Python (opt.)'!$I$78:$I$81</f>
            </numRef>
          </val>
        </ser>
        <ser>
          <idx val="1"/>
          <order val="1"/>
          <tx>
            <strRef>
              <f>'Python (opt.)'!J77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'Python (opt.)'!$C$78:$C$81</f>
            </numRef>
          </cat>
          <val>
            <numRef>
              <f>'Python (opt.)'!$J$78:$J$81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Relationship Type="http://schemas.openxmlformats.org/officeDocument/2006/relationships/chart" Target="/xl/charts/chart17.xml" Id="rId3" /><Relationship Type="http://schemas.openxmlformats.org/officeDocument/2006/relationships/chart" Target="/xl/charts/chart18.xml" Id="rId4" /><Relationship Type="http://schemas.openxmlformats.org/officeDocument/2006/relationships/chart" Target="/xl/charts/chart19.xml" Id="rId5" /><Relationship Type="http://schemas.openxmlformats.org/officeDocument/2006/relationships/chart" Target="/xl/charts/chart20.xml" Id="rId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Relationship Type="http://schemas.openxmlformats.org/officeDocument/2006/relationships/chart" Target="/xl/charts/chart29.xml" Id="rId3" /><Relationship Type="http://schemas.openxmlformats.org/officeDocument/2006/relationships/chart" Target="/xl/charts/chart30.xml" Id="rId4" /><Relationship Type="http://schemas.openxmlformats.org/officeDocument/2006/relationships/chart" Target="/xl/charts/chart31.xml" Id="rId5" /><Relationship Type="http://schemas.openxmlformats.org/officeDocument/2006/relationships/chart" Target="/xl/charts/chart32.xml" Id="rId6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Relationship Type="http://schemas.openxmlformats.org/officeDocument/2006/relationships/chart" Target="/xl/charts/chart37.xml" Id="rId5" /><Relationship Type="http://schemas.openxmlformats.org/officeDocument/2006/relationships/chart" Target="/xl/charts/chart3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7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20</row>
      <rowOff>0</rowOff>
    </from>
    <ext cx="61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40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57</row>
      <rowOff>0</rowOff>
    </from>
    <ext cx="576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76</row>
      <rowOff>0</rowOff>
    </from>
    <ext cx="576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93</row>
      <rowOff>0</rowOff>
    </from>
    <ext cx="576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7" customWidth="1" min="2" max="2"/>
    <col width="14" customWidth="1" min="3" max="3"/>
    <col width="11" customWidth="1" min="4" max="4"/>
    <col width="28" customWidth="1" min="5" max="5"/>
    <col width="14" customWidth="1" min="6" max="6"/>
    <col width="31" customWidth="1" min="7" max="7"/>
    <col width="26" customWidth="1" min="8" max="8"/>
    <col width="15" customWidth="1" min="9" max="9"/>
    <col width="18" customWidth="1" min="10" max="10"/>
    <col width="27" customWidth="1" min="11" max="11"/>
    <col width="16" customWidth="1" min="12" max="12"/>
    <col width="13" customWidth="1" min="13" max="13"/>
  </cols>
  <sheetData>
    <row r="1" ht="26" customHeight="1">
      <c r="A1" s="1" t="inlineStr">
        <is>
          <t>PROGRAMMING BENCHMARK - EXECUTIVE PERFORMANCE DASHBOARD</t>
        </is>
      </c>
    </row>
    <row r="2" ht="18" customHeight="1">
      <c r="A2" s="2" t="inlineStr">
        <is>
          <t>Multi-Language Web Framework Evaluation: Docker Containerization vs Bare Metal (Host)</t>
        </is>
      </c>
    </row>
    <row r="3" ht="10" customHeight="1"/>
    <row r="4">
      <c r="B4" s="3" t="inlineStr">
        <is>
          <t>TOP THROUGHPUT FRAMEWORK</t>
        </is>
      </c>
      <c r="C4" s="4" t="n"/>
      <c r="E4" s="3" t="inlineStr">
        <is>
          <t>AVG CONTAINER OVERHEAD</t>
        </is>
      </c>
      <c r="F4" s="4" t="n"/>
      <c r="H4" s="3" t="inlineStr">
        <is>
          <t>SECONDARY INDEX SPEEDUP</t>
        </is>
      </c>
      <c r="I4" s="4" t="n"/>
      <c r="K4" s="3" t="inlineStr">
        <is>
          <t>TOTAL METRIC DATA POINTS</t>
        </is>
      </c>
      <c r="L4" s="4" t="n"/>
    </row>
    <row r="5">
      <c r="B5" s="5" t="inlineStr">
        <is>
          <t>Go (Fiber)</t>
        </is>
      </c>
      <c r="C5" s="4" t="n"/>
      <c r="E5" s="5" t="inlineStr">
        <is>
          <t>-14.8%</t>
        </is>
      </c>
      <c r="F5" s="4" t="n"/>
      <c r="H5" s="5" t="inlineStr">
        <is>
          <t>24.6x</t>
        </is>
      </c>
      <c r="I5" s="4" t="n"/>
      <c r="K5" s="5" t="inlineStr">
        <is>
          <t>2,000 Runs</t>
        </is>
      </c>
      <c r="L5" s="4" t="n"/>
    </row>
    <row r="6">
      <c r="B6" s="6" t="inlineStr">
        <is>
          <t>Peak: 31,507 Req/s (BME)</t>
        </is>
      </c>
      <c r="C6" s="4" t="n"/>
      <c r="E6" s="6" t="inlineStr">
        <is>
          <t>Throughput Loss in Docker</t>
        </is>
      </c>
      <c r="F6" s="4" t="n"/>
      <c r="H6" s="6" t="inlineStr">
        <is>
          <t>Indexed vs Full Scan</t>
        </is>
      </c>
      <c r="I6" s="4" t="n"/>
      <c r="K6" s="6" t="inlineStr">
        <is>
          <t>20 Iterations / Endpoint</t>
        </is>
      </c>
      <c r="L6" s="4" t="n"/>
    </row>
    <row r="7" ht="14" customHeight="1"/>
    <row r="8" ht="24" customHeight="1">
      <c r="A8" s="7" t="inlineStr">
        <is>
          <t>EXECUTIVE COMPARISON MATRIX: DOCKER VS BARE METAL BY FRAMEWORK (Light / POC Tier)</t>
        </is>
      </c>
    </row>
    <row r="9" ht="22" customHeight="1">
      <c r="A9" s="8" t="inlineStr">
        <is>
          <t>Suite</t>
        </is>
      </c>
      <c r="B9" s="8" t="inlineStr">
        <is>
          <t>Language</t>
        </is>
      </c>
      <c r="C9" s="8" t="inlineStr">
        <is>
          <t>Framework</t>
        </is>
      </c>
      <c r="D9" s="8" t="inlineStr">
        <is>
          <t>Tier</t>
        </is>
      </c>
      <c r="E9" s="8" t="inlineStr">
        <is>
          <t>Docker (Req/s)</t>
        </is>
      </c>
      <c r="F9" s="8" t="inlineStr">
        <is>
          <t>BME (Req/s)</t>
        </is>
      </c>
      <c r="G9" s="8" t="inlineStr">
        <is>
          <t>BME Gain (%)</t>
        </is>
      </c>
      <c r="H9" s="8" t="inlineStr">
        <is>
          <t>Docker Lat (ms)</t>
        </is>
      </c>
      <c r="I9" s="8" t="inlineStr">
        <is>
          <t>BME Lat (ms)</t>
        </is>
      </c>
      <c r="J9" s="8" t="inlineStr">
        <is>
          <t>Docker P95 (ms)</t>
        </is>
      </c>
      <c r="K9" s="8" t="inlineStr">
        <is>
          <t>BME P95 (ms)</t>
        </is>
      </c>
      <c r="L9" s="8" t="inlineStr">
        <is>
          <t>Docker Errors</t>
        </is>
      </c>
      <c r="M9" s="8" t="inlineStr">
        <is>
          <t>BME Errors</t>
        </is>
      </c>
    </row>
    <row r="10" ht="20" customHeight="1">
      <c r="A10" s="9" t="inlineStr">
        <is>
          <t>GET No-Index</t>
        </is>
      </c>
      <c r="B10" s="10" t="inlineStr">
        <is>
          <t>Python</t>
        </is>
      </c>
      <c r="C10" s="9" t="inlineStr">
        <is>
          <t>FastAPI</t>
        </is>
      </c>
      <c r="D10" s="9" t="inlineStr">
        <is>
          <t>POC</t>
        </is>
      </c>
      <c r="E10" s="11" t="n">
        <v>1533.77</v>
      </c>
      <c r="F10" s="11" t="n">
        <v>0</v>
      </c>
      <c r="G10" s="12">
        <f>IF(E10&gt;0, (F10-E10)/E10, 0)</f>
        <v/>
      </c>
      <c r="H10" s="11" t="n">
        <v>13.03</v>
      </c>
      <c r="I10" s="11" t="n">
        <v>0</v>
      </c>
      <c r="J10" s="11" t="n">
        <v>16.6</v>
      </c>
      <c r="K10" s="11" t="n">
        <v>0</v>
      </c>
      <c r="L10" s="13" t="n">
        <v>0</v>
      </c>
      <c r="M10" s="13" t="n">
        <v>0</v>
      </c>
    </row>
    <row r="11" ht="20" customHeight="1">
      <c r="A11" s="14" t="inlineStr">
        <is>
          <t>GET No-Index</t>
        </is>
      </c>
      <c r="B11" s="15" t="inlineStr">
        <is>
          <t>Node.js</t>
        </is>
      </c>
      <c r="C11" s="14" t="inlineStr">
        <is>
          <t>Fastify</t>
        </is>
      </c>
      <c r="D11" s="14" t="inlineStr">
        <is>
          <t>POC</t>
        </is>
      </c>
      <c r="E11" s="16" t="n">
        <v>9736.030000000001</v>
      </c>
      <c r="F11" s="16" t="n">
        <v>0</v>
      </c>
      <c r="G11" s="12">
        <f>IF(E11&gt;0, (F11-E11)/E11, 0)</f>
        <v/>
      </c>
      <c r="H11" s="16" t="n">
        <v>2.15</v>
      </c>
      <c r="I11" s="16" t="n">
        <v>0</v>
      </c>
      <c r="J11" s="16" t="n">
        <v>2.58</v>
      </c>
      <c r="K11" s="16" t="n">
        <v>0</v>
      </c>
      <c r="L11" s="17" t="n">
        <v>0</v>
      </c>
      <c r="M11" s="17" t="n">
        <v>0</v>
      </c>
    </row>
    <row r="12" ht="20" customHeight="1">
      <c r="A12" s="9" t="inlineStr">
        <is>
          <t>GET No-Index</t>
        </is>
      </c>
      <c r="B12" s="10" t="inlineStr">
        <is>
          <t>PHP</t>
        </is>
      </c>
      <c r="C12" s="9" t="inlineStr">
        <is>
          <t>Swoole</t>
        </is>
      </c>
      <c r="D12" s="9" t="inlineStr">
        <is>
          <t>POC</t>
        </is>
      </c>
      <c r="E12" s="11" t="n">
        <v>22133.54</v>
      </c>
      <c r="F12" s="11" t="n">
        <v>0</v>
      </c>
      <c r="G12" s="12">
        <f>IF(E12&gt;0, (F12-E12)/E12, 0)</f>
        <v/>
      </c>
      <c r="H12" s="11" t="n">
        <v>0.91</v>
      </c>
      <c r="I12" s="11" t="n">
        <v>0</v>
      </c>
      <c r="J12" s="11" t="n">
        <v>1.11</v>
      </c>
      <c r="K12" s="11" t="n">
        <v>0</v>
      </c>
      <c r="L12" s="13" t="n">
        <v>0</v>
      </c>
      <c r="M12" s="13" t="n">
        <v>0</v>
      </c>
    </row>
    <row r="13" ht="20" customHeight="1">
      <c r="A13" s="14" t="inlineStr">
        <is>
          <t>GET No-Index</t>
        </is>
      </c>
      <c r="B13" s="15" t="inlineStr">
        <is>
          <t>Go</t>
        </is>
      </c>
      <c r="C13" s="14" t="inlineStr">
        <is>
          <t>Fiber</t>
        </is>
      </c>
      <c r="D13" s="14" t="inlineStr">
        <is>
          <t>POC</t>
        </is>
      </c>
      <c r="E13" s="16" t="n">
        <v>4780.33</v>
      </c>
      <c r="F13" s="16" t="n">
        <v>0</v>
      </c>
      <c r="G13" s="12">
        <f>IF(E13&gt;0, (F13-E13)/E13, 0)</f>
        <v/>
      </c>
      <c r="H13" s="16" t="n">
        <v>4.16</v>
      </c>
      <c r="I13" s="16" t="n">
        <v>0</v>
      </c>
      <c r="J13" s="16" t="n">
        <v>5.78</v>
      </c>
      <c r="K13" s="16" t="n">
        <v>0</v>
      </c>
      <c r="L13" s="17" t="n">
        <v>0</v>
      </c>
      <c r="M13" s="17" t="n">
        <v>0</v>
      </c>
    </row>
    <row r="14" ht="20" customHeight="1">
      <c r="A14" s="9" t="inlineStr">
        <is>
          <t>GET No-Index</t>
        </is>
      </c>
      <c r="B14" s="10" t="inlineStr">
        <is>
          <t>Java</t>
        </is>
      </c>
      <c r="C14" s="9" t="inlineStr">
        <is>
          <t>Spring Boot</t>
        </is>
      </c>
      <c r="D14" s="9" t="inlineStr">
        <is>
          <t>POC</t>
        </is>
      </c>
      <c r="E14" s="11" t="n">
        <v>9975.969999999999</v>
      </c>
      <c r="F14" s="11" t="n">
        <v>0</v>
      </c>
      <c r="G14" s="12">
        <f>IF(E14&gt;0, (F14-E14)/E14, 0)</f>
        <v/>
      </c>
      <c r="H14" s="11" t="n">
        <v>2.05</v>
      </c>
      <c r="I14" s="11" t="n">
        <v>0</v>
      </c>
      <c r="J14" s="11" t="n">
        <v>2.46</v>
      </c>
      <c r="K14" s="11" t="n">
        <v>0</v>
      </c>
      <c r="L14" s="13" t="n">
        <v>0</v>
      </c>
      <c r="M14" s="13" t="n">
        <v>0</v>
      </c>
    </row>
    <row r="15" ht="20" customHeight="1">
      <c r="A15" s="14" t="inlineStr">
        <is>
          <t>GET With-Index</t>
        </is>
      </c>
      <c r="B15" s="15" t="inlineStr">
        <is>
          <t>Python</t>
        </is>
      </c>
      <c r="C15" s="14" t="inlineStr">
        <is>
          <t>FastAPI</t>
        </is>
      </c>
      <c r="D15" s="14" t="inlineStr">
        <is>
          <t>POC</t>
        </is>
      </c>
      <c r="E15" s="16" t="n">
        <v>1543.17</v>
      </c>
      <c r="F15" s="16" t="n">
        <v>0</v>
      </c>
      <c r="G15" s="12">
        <f>IF(E15&gt;0, (F15-E15)/E15, 0)</f>
        <v/>
      </c>
      <c r="H15" s="16" t="n">
        <v>12.95</v>
      </c>
      <c r="I15" s="16" t="n">
        <v>0</v>
      </c>
      <c r="J15" s="16" t="n">
        <v>16.4</v>
      </c>
      <c r="K15" s="16" t="n">
        <v>0</v>
      </c>
      <c r="L15" s="17" t="n">
        <v>0</v>
      </c>
      <c r="M15" s="17" t="n">
        <v>0</v>
      </c>
    </row>
    <row r="16" ht="20" customHeight="1">
      <c r="A16" s="9" t="inlineStr">
        <is>
          <t>GET With-Index</t>
        </is>
      </c>
      <c r="B16" s="10" t="inlineStr">
        <is>
          <t>Node.js</t>
        </is>
      </c>
      <c r="C16" s="9" t="inlineStr">
        <is>
          <t>Fastify</t>
        </is>
      </c>
      <c r="D16" s="9" t="inlineStr">
        <is>
          <t>POC</t>
        </is>
      </c>
      <c r="E16" s="11" t="n">
        <v>9837.01</v>
      </c>
      <c r="F16" s="11" t="n">
        <v>0</v>
      </c>
      <c r="G16" s="12">
        <f>IF(E16&gt;0, (F16-E16)/E16, 0)</f>
        <v/>
      </c>
      <c r="H16" s="11" t="n">
        <v>2.13</v>
      </c>
      <c r="I16" s="11" t="n">
        <v>0</v>
      </c>
      <c r="J16" s="11" t="n">
        <v>2.55</v>
      </c>
      <c r="K16" s="11" t="n">
        <v>0</v>
      </c>
      <c r="L16" s="13" t="n">
        <v>0</v>
      </c>
      <c r="M16" s="13" t="n">
        <v>0</v>
      </c>
    </row>
    <row r="17" ht="20" customHeight="1">
      <c r="A17" s="14" t="inlineStr">
        <is>
          <t>GET With-Index</t>
        </is>
      </c>
      <c r="B17" s="15" t="inlineStr">
        <is>
          <t>PHP</t>
        </is>
      </c>
      <c r="C17" s="14" t="inlineStr">
        <is>
          <t>Swoole</t>
        </is>
      </c>
      <c r="D17" s="14" t="inlineStr">
        <is>
          <t>POC</t>
        </is>
      </c>
      <c r="E17" s="16" t="n">
        <v>22522.87</v>
      </c>
      <c r="F17" s="16" t="n">
        <v>0</v>
      </c>
      <c r="G17" s="12">
        <f>IF(E17&gt;0, (F17-E17)/E17, 0)</f>
        <v/>
      </c>
      <c r="H17" s="16" t="n">
        <v>0.9</v>
      </c>
      <c r="I17" s="16" t="n">
        <v>0</v>
      </c>
      <c r="J17" s="16" t="n">
        <v>1.1</v>
      </c>
      <c r="K17" s="16" t="n">
        <v>0</v>
      </c>
      <c r="L17" s="17" t="n">
        <v>0</v>
      </c>
      <c r="M17" s="17" t="n">
        <v>0</v>
      </c>
    </row>
    <row r="18" ht="20" customHeight="1">
      <c r="A18" s="9" t="inlineStr">
        <is>
          <t>GET With-Index</t>
        </is>
      </c>
      <c r="B18" s="10" t="inlineStr">
        <is>
          <t>Go</t>
        </is>
      </c>
      <c r="C18" s="9" t="inlineStr">
        <is>
          <t>Fiber</t>
        </is>
      </c>
      <c r="D18" s="9" t="inlineStr">
        <is>
          <t>POC</t>
        </is>
      </c>
      <c r="E18" s="11" t="n">
        <v>4783</v>
      </c>
      <c r="F18" s="11" t="n">
        <v>0</v>
      </c>
      <c r="G18" s="12">
        <f>IF(E18&gt;0, (F18-E18)/E18, 0)</f>
        <v/>
      </c>
      <c r="H18" s="11" t="n">
        <v>4.15</v>
      </c>
      <c r="I18" s="11" t="n">
        <v>0</v>
      </c>
      <c r="J18" s="11" t="n">
        <v>5.8</v>
      </c>
      <c r="K18" s="11" t="n">
        <v>0</v>
      </c>
      <c r="L18" s="13" t="n">
        <v>0</v>
      </c>
      <c r="M18" s="13" t="n">
        <v>0</v>
      </c>
    </row>
    <row r="19" ht="20" customHeight="1">
      <c r="A19" s="14" t="inlineStr">
        <is>
          <t>GET With-Index</t>
        </is>
      </c>
      <c r="B19" s="15" t="inlineStr">
        <is>
          <t>Java</t>
        </is>
      </c>
      <c r="C19" s="14" t="inlineStr">
        <is>
          <t>Spring Boot</t>
        </is>
      </c>
      <c r="D19" s="14" t="inlineStr">
        <is>
          <t>POC</t>
        </is>
      </c>
      <c r="E19" s="16" t="n">
        <v>9782.76</v>
      </c>
      <c r="F19" s="16" t="n">
        <v>0</v>
      </c>
      <c r="G19" s="12">
        <f>IF(E19&gt;0, (F19-E19)/E19, 0)</f>
        <v/>
      </c>
      <c r="H19" s="16" t="n">
        <v>2.09</v>
      </c>
      <c r="I19" s="16" t="n">
        <v>0</v>
      </c>
      <c r="J19" s="16" t="n">
        <v>2.5</v>
      </c>
      <c r="K19" s="16" t="n">
        <v>0</v>
      </c>
      <c r="L19" s="17" t="n">
        <v>0</v>
      </c>
      <c r="M19" s="17" t="n">
        <v>0</v>
      </c>
    </row>
    <row r="20" ht="20" customHeight="1">
      <c r="A20" s="9" t="inlineStr">
        <is>
          <t>POST</t>
        </is>
      </c>
      <c r="B20" s="10" t="inlineStr">
        <is>
          <t>Python</t>
        </is>
      </c>
      <c r="C20" s="9" t="inlineStr">
        <is>
          <t>FastAPI</t>
        </is>
      </c>
      <c r="D20" s="9" t="inlineStr">
        <is>
          <t>POC</t>
        </is>
      </c>
      <c r="E20" s="11" t="n">
        <v>8822.719999999999</v>
      </c>
      <c r="F20" s="11" t="n">
        <v>0</v>
      </c>
      <c r="G20" s="12">
        <f>IF(E20&gt;0, (F20-E20)/E20, 0)</f>
        <v/>
      </c>
      <c r="H20" s="11" t="n">
        <v>2.26</v>
      </c>
      <c r="I20" s="11" t="n">
        <v>0</v>
      </c>
      <c r="J20" s="11" t="n">
        <v>2.98</v>
      </c>
      <c r="K20" s="11" t="n">
        <v>0</v>
      </c>
      <c r="L20" s="13" t="n">
        <v>0</v>
      </c>
      <c r="M20" s="13" t="n">
        <v>0</v>
      </c>
    </row>
    <row r="21" ht="20" customHeight="1">
      <c r="A21" s="14" t="inlineStr">
        <is>
          <t>POST</t>
        </is>
      </c>
      <c r="B21" s="15" t="inlineStr">
        <is>
          <t>Node.js</t>
        </is>
      </c>
      <c r="C21" s="14" t="inlineStr">
        <is>
          <t>Fastify</t>
        </is>
      </c>
      <c r="D21" s="14" t="inlineStr">
        <is>
          <t>POC</t>
        </is>
      </c>
      <c r="E21" s="16" t="n">
        <v>28300.84</v>
      </c>
      <c r="F21" s="16" t="n">
        <v>0</v>
      </c>
      <c r="G21" s="12">
        <f>IF(E21&gt;0, (F21-E21)/E21, 0)</f>
        <v/>
      </c>
      <c r="H21" s="16" t="n">
        <v>0.82</v>
      </c>
      <c r="I21" s="16" t="n">
        <v>0</v>
      </c>
      <c r="J21" s="16" t="n">
        <v>0.91</v>
      </c>
      <c r="K21" s="16" t="n">
        <v>0</v>
      </c>
      <c r="L21" s="17" t="n">
        <v>0</v>
      </c>
      <c r="M21" s="17" t="n">
        <v>0</v>
      </c>
    </row>
    <row r="22" ht="20" customHeight="1">
      <c r="A22" s="9" t="inlineStr">
        <is>
          <t>POST</t>
        </is>
      </c>
      <c r="B22" s="10" t="inlineStr">
        <is>
          <t>PHP</t>
        </is>
      </c>
      <c r="C22" s="9" t="inlineStr">
        <is>
          <t>Swoole</t>
        </is>
      </c>
      <c r="D22" s="9" t="inlineStr">
        <is>
          <t>POC</t>
        </is>
      </c>
      <c r="E22" s="11" t="n">
        <v>27518.46</v>
      </c>
      <c r="F22" s="11" t="n">
        <v>0</v>
      </c>
      <c r="G22" s="12">
        <f>IF(E22&gt;0, (F22-E22)/E22, 0)</f>
        <v/>
      </c>
      <c r="H22" s="11" t="n">
        <v>0.75</v>
      </c>
      <c r="I22" s="11" t="n">
        <v>0</v>
      </c>
      <c r="J22" s="11" t="n">
        <v>0.96</v>
      </c>
      <c r="K22" s="11" t="n">
        <v>0</v>
      </c>
      <c r="L22" s="13" t="n">
        <v>0</v>
      </c>
      <c r="M22" s="13" t="n">
        <v>0</v>
      </c>
    </row>
    <row r="23" ht="20" customHeight="1">
      <c r="A23" s="14" t="inlineStr">
        <is>
          <t>POST</t>
        </is>
      </c>
      <c r="B23" s="15" t="inlineStr">
        <is>
          <t>Go</t>
        </is>
      </c>
      <c r="C23" s="14" t="inlineStr">
        <is>
          <t>Fiber</t>
        </is>
      </c>
      <c r="D23" s="14" t="inlineStr">
        <is>
          <t>POC</t>
        </is>
      </c>
      <c r="E23" s="16" t="n">
        <v>31507.46</v>
      </c>
      <c r="F23" s="16" t="n">
        <v>0</v>
      </c>
      <c r="G23" s="12">
        <f>IF(E23&gt;0, (F23-E23)/E23, 0)</f>
        <v/>
      </c>
      <c r="H23" s="16" t="n">
        <v>0.63</v>
      </c>
      <c r="I23" s="16" t="n">
        <v>0</v>
      </c>
      <c r="J23" s="16" t="n">
        <v>1.02</v>
      </c>
      <c r="K23" s="16" t="n">
        <v>0</v>
      </c>
      <c r="L23" s="17" t="n">
        <v>0</v>
      </c>
      <c r="M23" s="17" t="n">
        <v>0</v>
      </c>
    </row>
    <row r="24" ht="20" customHeight="1">
      <c r="A24" s="9" t="inlineStr">
        <is>
          <t>POST</t>
        </is>
      </c>
      <c r="B24" s="10" t="inlineStr">
        <is>
          <t>Java</t>
        </is>
      </c>
      <c r="C24" s="9" t="inlineStr">
        <is>
          <t>Spring Boot</t>
        </is>
      </c>
      <c r="D24" s="9" t="inlineStr">
        <is>
          <t>POC</t>
        </is>
      </c>
      <c r="E24" s="11" t="n">
        <v>26542.69</v>
      </c>
      <c r="F24" s="11" t="n">
        <v>0</v>
      </c>
      <c r="G24" s="12">
        <f>IF(E24&gt;0, (F24-E24)/E24, 0)</f>
        <v/>
      </c>
      <c r="H24" s="11" t="n">
        <v>0.78</v>
      </c>
      <c r="I24" s="11" t="n">
        <v>0</v>
      </c>
      <c r="J24" s="11" t="n">
        <v>1</v>
      </c>
      <c r="K24" s="11" t="n">
        <v>0</v>
      </c>
      <c r="L24" s="13" t="n">
        <v>0</v>
      </c>
      <c r="M24" s="13" t="n">
        <v>0</v>
      </c>
    </row>
  </sheetData>
  <mergeCells count="15">
    <mergeCell ref="B6:C6"/>
    <mergeCell ref="E4:F4"/>
    <mergeCell ref="E6:F6"/>
    <mergeCell ref="A1:M1"/>
    <mergeCell ref="H6:I6"/>
    <mergeCell ref="A8:M8"/>
    <mergeCell ref="B5:C5"/>
    <mergeCell ref="K6:L6"/>
    <mergeCell ref="E5:F5"/>
    <mergeCell ref="K5:L5"/>
    <mergeCell ref="H5:I5"/>
    <mergeCell ref="H4:I4"/>
    <mergeCell ref="K4:L4"/>
    <mergeCell ref="A2:M2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(FASTAPI) - DETAILED BENCHMARK SPECIFICATION</t>
        </is>
      </c>
    </row>
    <row r="2" ht="18" customHeight="1">
      <c r="A2" s="2" t="inlineStr">
        <is>
          <t>Runtime: Python 3.12 (Uvicorn / aiomysql)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1533.77</v>
      </c>
      <c r="E6" s="11" t="n">
        <v>0</v>
      </c>
      <c r="F6" s="12">
        <f>IF(D6&gt;0, (E6-D6)/D6, 0)</f>
        <v/>
      </c>
      <c r="G6" s="11" t="n">
        <v>13.03</v>
      </c>
      <c r="H6" s="11" t="n">
        <v>0</v>
      </c>
      <c r="I6" s="11" t="n">
        <v>16.6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362.53</v>
      </c>
      <c r="E7" s="16" t="n">
        <v>0</v>
      </c>
      <c r="F7" s="12">
        <f>IF(D7&gt;0, (E7-D7)/D7, 0)</f>
        <v/>
      </c>
      <c r="G7" s="16" t="n">
        <v>55.09</v>
      </c>
      <c r="H7" s="16" t="n">
        <v>0</v>
      </c>
      <c r="I7" s="16" t="n">
        <v>84.45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385.8</v>
      </c>
      <c r="E8" s="11" t="n">
        <v>0</v>
      </c>
      <c r="F8" s="12">
        <f>IF(D8&gt;0, (E8-D8)/D8, 0)</f>
        <v/>
      </c>
      <c r="G8" s="11" t="n">
        <v>51.78</v>
      </c>
      <c r="H8" s="11" t="n">
        <v>0</v>
      </c>
      <c r="I8" s="11" t="n">
        <v>88.98999999999999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343.4</v>
      </c>
      <c r="E9" s="16" t="n">
        <v>0</v>
      </c>
      <c r="F9" s="12">
        <f>IF(D9&gt;0, (E9-D9)/D9, 0)</f>
        <v/>
      </c>
      <c r="G9" s="16" t="n">
        <v>58.18</v>
      </c>
      <c r="H9" s="16" t="n">
        <v>0</v>
      </c>
      <c r="I9" s="16" t="n">
        <v>93.5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1543.17</v>
      </c>
      <c r="E42" s="11" t="n">
        <v>0</v>
      </c>
      <c r="F42" s="12">
        <f>IF(D42&gt;0, (E42-D42)/D42, 0)</f>
        <v/>
      </c>
      <c r="G42" s="11" t="n">
        <v>12.95</v>
      </c>
      <c r="H42" s="11" t="n">
        <v>0</v>
      </c>
      <c r="I42" s="11" t="n">
        <v>16.4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1508.03</v>
      </c>
      <c r="E43" s="16" t="n">
        <v>0</v>
      </c>
      <c r="F43" s="12">
        <f>IF(D43&gt;0, (E43-D43)/D43, 0)</f>
        <v/>
      </c>
      <c r="G43" s="16" t="n">
        <v>13.26</v>
      </c>
      <c r="H43" s="16" t="n">
        <v>0</v>
      </c>
      <c r="I43" s="16" t="n">
        <v>16.23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1473.81</v>
      </c>
      <c r="E44" s="11" t="n">
        <v>0</v>
      </c>
      <c r="F44" s="12">
        <f>IF(D44&gt;0, (E44-D44)/D44, 0)</f>
        <v/>
      </c>
      <c r="G44" s="11" t="n">
        <v>13.57</v>
      </c>
      <c r="H44" s="11" t="n">
        <v>0</v>
      </c>
      <c r="I44" s="11" t="n">
        <v>19.14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1305.66</v>
      </c>
      <c r="E45" s="16" t="n">
        <v>0</v>
      </c>
      <c r="F45" s="12">
        <f>IF(D45&gt;0, (E45-D45)/D45, 0)</f>
        <v/>
      </c>
      <c r="G45" s="16" t="n">
        <v>15.31</v>
      </c>
      <c r="H45" s="16" t="n">
        <v>0</v>
      </c>
      <c r="I45" s="16" t="n">
        <v>21.81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8822.719999999999</v>
      </c>
      <c r="E78" s="11" t="n">
        <v>0</v>
      </c>
      <c r="F78" s="12">
        <f>IF(D78&gt;0, (E78-D78)/D78, 0)</f>
        <v/>
      </c>
      <c r="G78" s="11" t="n">
        <v>2.26</v>
      </c>
      <c r="H78" s="11" t="n">
        <v>0</v>
      </c>
      <c r="I78" s="11" t="n">
        <v>2.98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5937.1</v>
      </c>
      <c r="E79" s="16" t="n">
        <v>0</v>
      </c>
      <c r="F79" s="12">
        <f>IF(D79&gt;0, (E79-D79)/D79, 0)</f>
        <v/>
      </c>
      <c r="G79" s="16" t="n">
        <v>3.46</v>
      </c>
      <c r="H79" s="16" t="n">
        <v>0</v>
      </c>
      <c r="I79" s="16" t="n">
        <v>4.31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5037.29</v>
      </c>
      <c r="E80" s="11" t="n">
        <v>0</v>
      </c>
      <c r="F80" s="12">
        <f>IF(D80&gt;0, (E80-D80)/D80, 0)</f>
        <v/>
      </c>
      <c r="G80" s="11" t="n">
        <v>4.06</v>
      </c>
      <c r="H80" s="11" t="n">
        <v>0</v>
      </c>
      <c r="I80" s="11" t="n">
        <v>4.83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4543.08</v>
      </c>
      <c r="E81" s="16" t="n">
        <v>0</v>
      </c>
      <c r="F81" s="12">
        <f>IF(D81&gt;0, (E81-D81)/D81, 0)</f>
        <v/>
      </c>
      <c r="G81" s="16" t="n">
        <v>4.52</v>
      </c>
      <c r="H81" s="16" t="n">
        <v>0</v>
      </c>
      <c r="I81" s="16" t="n">
        <v>5.25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NODE.JS (FASTIFY) - DETAILED BENCHMARK SPECIFICATION</t>
        </is>
      </c>
    </row>
    <row r="2" ht="18" customHeight="1">
      <c r="A2" s="2" t="inlineStr">
        <is>
          <t>Runtime: Node.js 20 (Cluster / mysql2)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9736.030000000001</v>
      </c>
      <c r="E6" s="11" t="n">
        <v>0</v>
      </c>
      <c r="F6" s="12">
        <f>IF(D6&gt;0, (E6-D6)/D6, 0)</f>
        <v/>
      </c>
      <c r="G6" s="11" t="n">
        <v>2.15</v>
      </c>
      <c r="H6" s="11" t="n">
        <v>0</v>
      </c>
      <c r="I6" s="11" t="n">
        <v>2.58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378.83</v>
      </c>
      <c r="E7" s="16" t="n">
        <v>0</v>
      </c>
      <c r="F7" s="12">
        <f>IF(D7&gt;0, (E7-D7)/D7, 0)</f>
        <v/>
      </c>
      <c r="G7" s="16" t="n">
        <v>52.72</v>
      </c>
      <c r="H7" s="16" t="n">
        <v>0</v>
      </c>
      <c r="I7" s="16" t="n">
        <v>85.19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338.15</v>
      </c>
      <c r="E8" s="11" t="n">
        <v>0</v>
      </c>
      <c r="F8" s="12">
        <f>IF(D8&gt;0, (E8-D8)/D8, 0)</f>
        <v/>
      </c>
      <c r="G8" s="11" t="n">
        <v>59.09</v>
      </c>
      <c r="H8" s="11" t="n">
        <v>0</v>
      </c>
      <c r="I8" s="11" t="n">
        <v>97.39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344.38</v>
      </c>
      <c r="E9" s="16" t="n">
        <v>0</v>
      </c>
      <c r="F9" s="12">
        <f>IF(D9&gt;0, (E9-D9)/D9, 0)</f>
        <v/>
      </c>
      <c r="G9" s="16" t="n">
        <v>58</v>
      </c>
      <c r="H9" s="16" t="n">
        <v>0</v>
      </c>
      <c r="I9" s="16" t="n">
        <v>95.88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9837.01</v>
      </c>
      <c r="E42" s="11" t="n">
        <v>0</v>
      </c>
      <c r="F42" s="12">
        <f>IF(D42&gt;0, (E42-D42)/D42, 0)</f>
        <v/>
      </c>
      <c r="G42" s="11" t="n">
        <v>2.13</v>
      </c>
      <c r="H42" s="11" t="n">
        <v>0</v>
      </c>
      <c r="I42" s="11" t="n">
        <v>2.55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8682.809999999999</v>
      </c>
      <c r="E43" s="16" t="n">
        <v>0</v>
      </c>
      <c r="F43" s="12">
        <f>IF(D43&gt;0, (E43-D43)/D43, 0)</f>
        <v/>
      </c>
      <c r="G43" s="16" t="n">
        <v>2.32</v>
      </c>
      <c r="H43" s="16" t="n">
        <v>0</v>
      </c>
      <c r="I43" s="16" t="n">
        <v>2.91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2318.99</v>
      </c>
      <c r="E44" s="11" t="n">
        <v>0</v>
      </c>
      <c r="F44" s="12">
        <f>IF(D44&gt;0, (E44-D44)/D44, 0)</f>
        <v/>
      </c>
      <c r="G44" s="11" t="n">
        <v>8.640000000000001</v>
      </c>
      <c r="H44" s="11" t="n">
        <v>0</v>
      </c>
      <c r="I44" s="11" t="n">
        <v>11.67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2032.21</v>
      </c>
      <c r="E45" s="16" t="n">
        <v>0</v>
      </c>
      <c r="F45" s="12">
        <f>IF(D45&gt;0, (E45-D45)/D45, 0)</f>
        <v/>
      </c>
      <c r="G45" s="16" t="n">
        <v>9.859999999999999</v>
      </c>
      <c r="H45" s="16" t="n">
        <v>0</v>
      </c>
      <c r="I45" s="16" t="n">
        <v>13.68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28300.84</v>
      </c>
      <c r="E78" s="11" t="n">
        <v>0</v>
      </c>
      <c r="F78" s="12">
        <f>IF(D78&gt;0, (E78-D78)/D78, 0)</f>
        <v/>
      </c>
      <c r="G78" s="11" t="n">
        <v>0.82</v>
      </c>
      <c r="H78" s="11" t="n">
        <v>0</v>
      </c>
      <c r="I78" s="11" t="n">
        <v>0.91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14139.78</v>
      </c>
      <c r="E79" s="16" t="n">
        <v>0</v>
      </c>
      <c r="F79" s="12">
        <f>IF(D79&gt;0, (E79-D79)/D79, 0)</f>
        <v/>
      </c>
      <c r="G79" s="16" t="n">
        <v>1.44</v>
      </c>
      <c r="H79" s="16" t="n">
        <v>0</v>
      </c>
      <c r="I79" s="16" t="n">
        <v>1.73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10494.52</v>
      </c>
      <c r="E80" s="11" t="n">
        <v>0</v>
      </c>
      <c r="F80" s="12">
        <f>IF(D80&gt;0, (E80-D80)/D80, 0)</f>
        <v/>
      </c>
      <c r="G80" s="11" t="n">
        <v>1.93</v>
      </c>
      <c r="H80" s="11" t="n">
        <v>0</v>
      </c>
      <c r="I80" s="11" t="n">
        <v>2.44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8495.459999999999</v>
      </c>
      <c r="E81" s="16" t="n">
        <v>0</v>
      </c>
      <c r="F81" s="12">
        <f>IF(D81&gt;0, (E81-D81)/D81, 0)</f>
        <v/>
      </c>
      <c r="G81" s="16" t="n">
        <v>2.38</v>
      </c>
      <c r="H81" s="16" t="n">
        <v>0</v>
      </c>
      <c r="I81" s="16" t="n">
        <v>2.94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PHP (SWOOLE) - DETAILED BENCHMARK SPECIFICATION</t>
        </is>
      </c>
    </row>
    <row r="2" ht="18" customHeight="1">
      <c r="A2" s="2" t="inlineStr">
        <is>
          <t>Runtime: PHP 8.3 (Swoole Coroutine PDO)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22133.54</v>
      </c>
      <c r="E6" s="11" t="n">
        <v>0</v>
      </c>
      <c r="F6" s="12">
        <f>IF(D6&gt;0, (E6-D6)/D6, 0)</f>
        <v/>
      </c>
      <c r="G6" s="11" t="n">
        <v>0.91</v>
      </c>
      <c r="H6" s="11" t="n">
        <v>0</v>
      </c>
      <c r="I6" s="11" t="n">
        <v>1.11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399.17</v>
      </c>
      <c r="E7" s="16" t="n">
        <v>0</v>
      </c>
      <c r="F7" s="12">
        <f>IF(D7&gt;0, (E7-D7)/D7, 0)</f>
        <v/>
      </c>
      <c r="G7" s="16" t="n">
        <v>50.59</v>
      </c>
      <c r="H7" s="16" t="n">
        <v>0</v>
      </c>
      <c r="I7" s="16" t="n">
        <v>82.17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399.95</v>
      </c>
      <c r="E8" s="11" t="n">
        <v>0</v>
      </c>
      <c r="F8" s="12">
        <f>IF(D8&gt;0, (E8-D8)/D8, 0)</f>
        <v/>
      </c>
      <c r="G8" s="11" t="n">
        <v>50.18</v>
      </c>
      <c r="H8" s="11" t="n">
        <v>0</v>
      </c>
      <c r="I8" s="11" t="n">
        <v>74.89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383.28</v>
      </c>
      <c r="E9" s="16" t="n">
        <v>0</v>
      </c>
      <c r="F9" s="12">
        <f>IF(D9&gt;0, (E9-D9)/D9, 0)</f>
        <v/>
      </c>
      <c r="G9" s="16" t="n">
        <v>52.24</v>
      </c>
      <c r="H9" s="16" t="n">
        <v>0</v>
      </c>
      <c r="I9" s="16" t="n">
        <v>78.61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22522.87</v>
      </c>
      <c r="E42" s="11" t="n">
        <v>0</v>
      </c>
      <c r="F42" s="12">
        <f>IF(D42&gt;0, (E42-D42)/D42, 0)</f>
        <v/>
      </c>
      <c r="G42" s="11" t="n">
        <v>0.9</v>
      </c>
      <c r="H42" s="11" t="n">
        <v>0</v>
      </c>
      <c r="I42" s="11" t="n">
        <v>1.1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13006.4</v>
      </c>
      <c r="E43" s="16" t="n">
        <v>0</v>
      </c>
      <c r="F43" s="12">
        <f>IF(D43&gt;0, (E43-D43)/D43, 0)</f>
        <v/>
      </c>
      <c r="G43" s="16" t="n">
        <v>1.55</v>
      </c>
      <c r="H43" s="16" t="n">
        <v>0</v>
      </c>
      <c r="I43" s="16" t="n">
        <v>1.85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2841.21</v>
      </c>
      <c r="E44" s="11" t="n">
        <v>0</v>
      </c>
      <c r="F44" s="12">
        <f>IF(D44&gt;0, (E44-D44)/D44, 0)</f>
        <v/>
      </c>
      <c r="G44" s="11" t="n">
        <v>7.05</v>
      </c>
      <c r="H44" s="11" t="n">
        <v>0</v>
      </c>
      <c r="I44" s="11" t="n">
        <v>10.47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2632.64</v>
      </c>
      <c r="E45" s="16" t="n">
        <v>0</v>
      </c>
      <c r="F45" s="12">
        <f>IF(D45&gt;0, (E45-D45)/D45, 0)</f>
        <v/>
      </c>
      <c r="G45" s="16" t="n">
        <v>7.61</v>
      </c>
      <c r="H45" s="16" t="n">
        <v>0</v>
      </c>
      <c r="I45" s="16" t="n">
        <v>12.23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27518.46</v>
      </c>
      <c r="E78" s="11" t="n">
        <v>0</v>
      </c>
      <c r="F78" s="12">
        <f>IF(D78&gt;0, (E78-D78)/D78, 0)</f>
        <v/>
      </c>
      <c r="G78" s="11" t="n">
        <v>0.75</v>
      </c>
      <c r="H78" s="11" t="n">
        <v>0</v>
      </c>
      <c r="I78" s="11" t="n">
        <v>0.96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13092.98</v>
      </c>
      <c r="E79" s="16" t="n">
        <v>0</v>
      </c>
      <c r="F79" s="12">
        <f>IF(D79&gt;0, (E79-D79)/D79, 0)</f>
        <v/>
      </c>
      <c r="G79" s="16" t="n">
        <v>1.54</v>
      </c>
      <c r="H79" s="16" t="n">
        <v>0</v>
      </c>
      <c r="I79" s="16" t="n">
        <v>2.69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11181.41</v>
      </c>
      <c r="E80" s="11" t="n">
        <v>0</v>
      </c>
      <c r="F80" s="12">
        <f>IF(D80&gt;0, (E80-D80)/D80, 0)</f>
        <v/>
      </c>
      <c r="G80" s="11" t="n">
        <v>1.8</v>
      </c>
      <c r="H80" s="11" t="n">
        <v>0</v>
      </c>
      <c r="I80" s="11" t="n">
        <v>2.1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8773.15</v>
      </c>
      <c r="E81" s="16" t="n">
        <v>0</v>
      </c>
      <c r="F81" s="12">
        <f>IF(D81&gt;0, (E81-D81)/D81, 0)</f>
        <v/>
      </c>
      <c r="G81" s="16" t="n">
        <v>2.29</v>
      </c>
      <c r="H81" s="16" t="n">
        <v>0</v>
      </c>
      <c r="I81" s="16" t="n">
        <v>4.1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GO (FIBER) - DETAILED BENCHMARK SPECIFICATION</t>
        </is>
      </c>
    </row>
    <row r="2" ht="18" customHeight="1">
      <c r="A2" s="2" t="inlineStr">
        <is>
          <t>Runtime: Go 1.21 (Gofiber / go-sql-driver)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4780.33</v>
      </c>
      <c r="E6" s="11" t="n">
        <v>0</v>
      </c>
      <c r="F6" s="12">
        <f>IF(D6&gt;0, (E6-D6)/D6, 0)</f>
        <v/>
      </c>
      <c r="G6" s="11" t="n">
        <v>4.16</v>
      </c>
      <c r="H6" s="11" t="n">
        <v>0</v>
      </c>
      <c r="I6" s="11" t="n">
        <v>5.78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436.17</v>
      </c>
      <c r="E7" s="16" t="n">
        <v>0</v>
      </c>
      <c r="F7" s="12">
        <f>IF(D7&gt;0, (E7-D7)/D7, 0)</f>
        <v/>
      </c>
      <c r="G7" s="16" t="n">
        <v>45.81</v>
      </c>
      <c r="H7" s="16" t="n">
        <v>0</v>
      </c>
      <c r="I7" s="16" t="n">
        <v>81.06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379.47</v>
      </c>
      <c r="E8" s="11" t="n">
        <v>0</v>
      </c>
      <c r="F8" s="12">
        <f>IF(D8&gt;0, (E8-D8)/D8, 0)</f>
        <v/>
      </c>
      <c r="G8" s="11" t="n">
        <v>52.64</v>
      </c>
      <c r="H8" s="11" t="n">
        <v>0</v>
      </c>
      <c r="I8" s="11" t="n">
        <v>92.29000000000001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353.23</v>
      </c>
      <c r="E9" s="16" t="n">
        <v>0</v>
      </c>
      <c r="F9" s="12">
        <f>IF(D9&gt;0, (E9-D9)/D9, 0)</f>
        <v/>
      </c>
      <c r="G9" s="16" t="n">
        <v>56.54</v>
      </c>
      <c r="H9" s="16" t="n">
        <v>0</v>
      </c>
      <c r="I9" s="16" t="n">
        <v>98.16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4783</v>
      </c>
      <c r="E42" s="11" t="n">
        <v>0</v>
      </c>
      <c r="F42" s="12">
        <f>IF(D42&gt;0, (E42-D42)/D42, 0)</f>
        <v/>
      </c>
      <c r="G42" s="11" t="n">
        <v>4.15</v>
      </c>
      <c r="H42" s="11" t="n">
        <v>0</v>
      </c>
      <c r="I42" s="11" t="n">
        <v>5.8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5659.89</v>
      </c>
      <c r="E43" s="16" t="n">
        <v>0</v>
      </c>
      <c r="F43" s="12">
        <f>IF(D43&gt;0, (E43-D43)/D43, 0)</f>
        <v/>
      </c>
      <c r="G43" s="16" t="n">
        <v>3.51</v>
      </c>
      <c r="H43" s="16" t="n">
        <v>0</v>
      </c>
      <c r="I43" s="16" t="n">
        <v>5.47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3577.97</v>
      </c>
      <c r="E44" s="11" t="n">
        <v>0</v>
      </c>
      <c r="F44" s="12">
        <f>IF(D44&gt;0, (E44-D44)/D44, 0)</f>
        <v/>
      </c>
      <c r="G44" s="11" t="n">
        <v>5.59</v>
      </c>
      <c r="H44" s="11" t="n">
        <v>0</v>
      </c>
      <c r="I44" s="11" t="n">
        <v>8.380000000000001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3085.37</v>
      </c>
      <c r="E45" s="16" t="n">
        <v>0</v>
      </c>
      <c r="F45" s="12">
        <f>IF(D45&gt;0, (E45-D45)/D45, 0)</f>
        <v/>
      </c>
      <c r="G45" s="16" t="n">
        <v>6.48</v>
      </c>
      <c r="H45" s="16" t="n">
        <v>0</v>
      </c>
      <c r="I45" s="16" t="n">
        <v>10.03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31507.46</v>
      </c>
      <c r="E78" s="11" t="n">
        <v>0</v>
      </c>
      <c r="F78" s="12">
        <f>IF(D78&gt;0, (E78-D78)/D78, 0)</f>
        <v/>
      </c>
      <c r="G78" s="11" t="n">
        <v>0.63</v>
      </c>
      <c r="H78" s="11" t="n">
        <v>0</v>
      </c>
      <c r="I78" s="11" t="n">
        <v>1.02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16085.64</v>
      </c>
      <c r="E79" s="16" t="n">
        <v>0</v>
      </c>
      <c r="F79" s="12">
        <f>IF(D79&gt;0, (E79-D79)/D79, 0)</f>
        <v/>
      </c>
      <c r="G79" s="16" t="n">
        <v>1.24</v>
      </c>
      <c r="H79" s="16" t="n">
        <v>0</v>
      </c>
      <c r="I79" s="16" t="n">
        <v>1.93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12708.62</v>
      </c>
      <c r="E80" s="11" t="n">
        <v>0</v>
      </c>
      <c r="F80" s="12">
        <f>IF(D80&gt;0, (E80-D80)/D80, 0)</f>
        <v/>
      </c>
      <c r="G80" s="11" t="n">
        <v>1.57</v>
      </c>
      <c r="H80" s="11" t="n">
        <v>0</v>
      </c>
      <c r="I80" s="11" t="n">
        <v>2.52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10592.01</v>
      </c>
      <c r="E81" s="16" t="n">
        <v>0</v>
      </c>
      <c r="F81" s="12">
        <f>IF(D81&gt;0, (E81-D81)/D81, 0)</f>
        <v/>
      </c>
      <c r="G81" s="16" t="n">
        <v>1.88</v>
      </c>
      <c r="H81" s="16" t="n">
        <v>0</v>
      </c>
      <c r="I81" s="16" t="n">
        <v>3.12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05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JAVA (SPRING BOOT) - DETAILED BENCHMARK SPECIFICATION</t>
        </is>
      </c>
    </row>
    <row r="2" ht="18" customHeight="1">
      <c r="A2" s="2" t="inlineStr">
        <is>
          <t>Runtime: Java 17 (HikariCP / JDBC)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9975.969999999999</v>
      </c>
      <c r="E6" s="11" t="n">
        <v>0</v>
      </c>
      <c r="F6" s="12">
        <f>IF(D6&gt;0, (E6-D6)/D6, 0)</f>
        <v/>
      </c>
      <c r="G6" s="11" t="n">
        <v>2.05</v>
      </c>
      <c r="H6" s="11" t="n">
        <v>0</v>
      </c>
      <c r="I6" s="11" t="n">
        <v>2.46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466.95</v>
      </c>
      <c r="E7" s="16" t="n">
        <v>0</v>
      </c>
      <c r="F7" s="12">
        <f>IF(D7&gt;0, (E7-D7)/D7, 0)</f>
        <v/>
      </c>
      <c r="G7" s="16" t="n">
        <v>42.79</v>
      </c>
      <c r="H7" s="16" t="n">
        <v>0</v>
      </c>
      <c r="I7" s="16" t="n">
        <v>67.45999999999999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390.99</v>
      </c>
      <c r="E8" s="11" t="n">
        <v>0</v>
      </c>
      <c r="F8" s="12">
        <f>IF(D8&gt;0, (E8-D8)/D8, 0)</f>
        <v/>
      </c>
      <c r="G8" s="11" t="n">
        <v>51.1</v>
      </c>
      <c r="H8" s="11" t="n">
        <v>0</v>
      </c>
      <c r="I8" s="11" t="n">
        <v>81.23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380.42</v>
      </c>
      <c r="E9" s="16" t="n">
        <v>0</v>
      </c>
      <c r="F9" s="12">
        <f>IF(D9&gt;0, (E9-D9)/D9, 0)</f>
        <v/>
      </c>
      <c r="G9" s="16" t="n">
        <v>52.49</v>
      </c>
      <c r="H9" s="16" t="n">
        <v>0</v>
      </c>
      <c r="I9" s="16" t="n">
        <v>83.47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9782.76</v>
      </c>
      <c r="E42" s="11" t="n">
        <v>0</v>
      </c>
      <c r="F42" s="12">
        <f>IF(D42&gt;0, (E42-D42)/D42, 0)</f>
        <v/>
      </c>
      <c r="G42" s="11" t="n">
        <v>2.09</v>
      </c>
      <c r="H42" s="11" t="n">
        <v>0</v>
      </c>
      <c r="I42" s="11" t="n">
        <v>2.5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9553.07</v>
      </c>
      <c r="E43" s="16" t="n">
        <v>0</v>
      </c>
      <c r="F43" s="12">
        <f>IF(D43&gt;0, (E43-D43)/D43, 0)</f>
        <v/>
      </c>
      <c r="G43" s="16" t="n">
        <v>2.09</v>
      </c>
      <c r="H43" s="16" t="n">
        <v>0</v>
      </c>
      <c r="I43" s="16" t="n">
        <v>2.67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3580.99</v>
      </c>
      <c r="E44" s="11" t="n">
        <v>0</v>
      </c>
      <c r="F44" s="12">
        <f>IF(D44&gt;0, (E44-D44)/D44, 0)</f>
        <v/>
      </c>
      <c r="G44" s="11" t="n">
        <v>5.58</v>
      </c>
      <c r="H44" s="11" t="n">
        <v>0</v>
      </c>
      <c r="I44" s="11" t="n">
        <v>7.44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2861.28</v>
      </c>
      <c r="E45" s="16" t="n">
        <v>0</v>
      </c>
      <c r="F45" s="12">
        <f>IF(D45&gt;0, (E45-D45)/D45, 0)</f>
        <v/>
      </c>
      <c r="G45" s="16" t="n">
        <v>6.99</v>
      </c>
      <c r="H45" s="16" t="n">
        <v>0</v>
      </c>
      <c r="I45" s="16" t="n">
        <v>9.49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26542.69</v>
      </c>
      <c r="E78" s="11" t="n">
        <v>0</v>
      </c>
      <c r="F78" s="12">
        <f>IF(D78&gt;0, (E78-D78)/D78, 0)</f>
        <v/>
      </c>
      <c r="G78" s="11" t="n">
        <v>0.78</v>
      </c>
      <c r="H78" s="11" t="n">
        <v>0</v>
      </c>
      <c r="I78" s="11" t="n">
        <v>1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15636.68</v>
      </c>
      <c r="E79" s="16" t="n">
        <v>0</v>
      </c>
      <c r="F79" s="12">
        <f>IF(D79&gt;0, (E79-D79)/D79, 0)</f>
        <v/>
      </c>
      <c r="G79" s="16" t="n">
        <v>1.28</v>
      </c>
      <c r="H79" s="16" t="n">
        <v>0</v>
      </c>
      <c r="I79" s="16" t="n">
        <v>1.66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13524.88</v>
      </c>
      <c r="E80" s="11" t="n">
        <v>0</v>
      </c>
      <c r="F80" s="12">
        <f>IF(D80&gt;0, (E80-D80)/D80, 0)</f>
        <v/>
      </c>
      <c r="G80" s="11" t="n">
        <v>1.46</v>
      </c>
      <c r="H80" s="11" t="n">
        <v>0</v>
      </c>
      <c r="I80" s="11" t="n">
        <v>1.89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12805.47</v>
      </c>
      <c r="E81" s="16" t="n">
        <v>0</v>
      </c>
      <c r="F81" s="12">
        <f>IF(D81&gt;0, (E81-D81)/D81, 0)</f>
        <v/>
      </c>
      <c r="G81" s="16" t="n">
        <v>1.55</v>
      </c>
      <c r="H81" s="16" t="n">
        <v>0</v>
      </c>
      <c r="I81" s="16" t="n">
        <v>2.01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1" workbookViewId="0">
      <selection activeCell="A1" sqref="A1"/>
    </sheetView>
  </sheetViews>
  <sheetFormatPr baseColWidth="8" defaultRowHeight="15"/>
  <cols>
    <col width="136" customWidth="1" min="1" max="1"/>
    <col width="22" customWidth="1" min="2" max="2"/>
    <col width="11" customWidth="1" min="3" max="3"/>
    <col width="15" customWidth="1" min="4" max="4"/>
    <col width="12" customWidth="1" min="5" max="5"/>
    <col width="31" customWidth="1" min="6" max="6"/>
    <col width="19" customWidth="1" min="7" max="7"/>
    <col width="16" customWidth="1" min="8" max="8"/>
    <col width="18" customWidth="1" min="9" max="9"/>
    <col width="15" customWidth="1" min="10" max="10"/>
    <col width="16" customWidth="1" min="11" max="11"/>
    <col width="13" customWidth="1" min="12" max="12"/>
  </cols>
  <sheetData>
    <row r="1" ht="26" customHeight="1">
      <c r="A1" s="1" t="inlineStr">
        <is>
          <t>PYTHON (OPT.) (FASTAPI (OPT)) - DETAILED BENCHMARK SPECIFICATION</t>
        </is>
      </c>
    </row>
    <row r="2" ht="18" customHeight="1">
      <c r="A2" s="2" t="inlineStr">
        <is>
          <t>Runtime: Python 3.12 (CustomORJSONResponse / uvloop / 16 workers) | Full Factorial Matrix: Docker Container (Dkr) vs Bare Metal (BME)</t>
        </is>
      </c>
    </row>
    <row r="3"/>
    <row r="4" ht="24" customHeight="1">
      <c r="A4" s="7" t="inlineStr">
        <is>
          <t>1. GET (NO-INDEX) SUITE - FULL TABLE SCANS</t>
        </is>
      </c>
    </row>
    <row r="5" ht="22" customHeight="1">
      <c r="A5" s="8" t="inlineStr">
        <is>
          <t>Tier</t>
        </is>
      </c>
      <c r="B5" s="8" t="inlineStr">
        <is>
          <t>Concurrency</t>
        </is>
      </c>
      <c r="C5" s="8" t="inlineStr">
        <is>
          <t>Endpoint</t>
        </is>
      </c>
      <c r="D5" s="8" t="inlineStr">
        <is>
          <t>Docker Req/s</t>
        </is>
      </c>
      <c r="E5" s="8" t="inlineStr">
        <is>
          <t>BME Req/s</t>
        </is>
      </c>
      <c r="F5" s="8" t="inlineStr">
        <is>
          <t>BME Gain (%)</t>
        </is>
      </c>
      <c r="G5" s="8" t="inlineStr">
        <is>
          <t>Docker Mean (ms)</t>
        </is>
      </c>
      <c r="H5" s="8" t="inlineStr">
        <is>
          <t>BME Mean (ms)</t>
        </is>
      </c>
      <c r="I5" s="8" t="inlineStr">
        <is>
          <t>Docker P95 (ms)</t>
        </is>
      </c>
      <c r="J5" s="8" t="inlineStr">
        <is>
          <t>BME P95 (ms)</t>
        </is>
      </c>
      <c r="K5" s="8" t="inlineStr">
        <is>
          <t>Docker Errors</t>
        </is>
      </c>
      <c r="L5" s="8" t="inlineStr">
        <is>
          <t>BME Errors</t>
        </is>
      </c>
    </row>
    <row r="6" ht="20" customHeight="1">
      <c r="A6" s="9" t="inlineStr">
        <is>
          <t>POC</t>
        </is>
      </c>
      <c r="B6" s="9" t="inlineStr">
        <is>
          <t>20 conn (2 threads)</t>
        </is>
      </c>
      <c r="C6" s="18" t="inlineStr">
        <is>
          <t>1table</t>
        </is>
      </c>
      <c r="D6" s="11" t="n">
        <v>1533.77</v>
      </c>
      <c r="E6" s="11" t="n">
        <v>0</v>
      </c>
      <c r="F6" s="12">
        <f>IF(D6&gt;0, (E6-D6)/D6, 0)</f>
        <v/>
      </c>
      <c r="G6" s="11" t="n">
        <v>13.03</v>
      </c>
      <c r="H6" s="11" t="n">
        <v>0</v>
      </c>
      <c r="I6" s="11" t="n">
        <v>16.6</v>
      </c>
      <c r="J6" s="11" t="n">
        <v>0</v>
      </c>
      <c r="K6" s="13" t="n">
        <v>0</v>
      </c>
      <c r="L6" s="13" t="n">
        <v>0</v>
      </c>
    </row>
    <row r="7" ht="20" customHeight="1">
      <c r="A7" s="14" t="inlineStr">
        <is>
          <t>POC</t>
        </is>
      </c>
      <c r="B7" s="14" t="inlineStr">
        <is>
          <t>20 conn (2 threads)</t>
        </is>
      </c>
      <c r="C7" s="19" t="inlineStr">
        <is>
          <t>2join</t>
        </is>
      </c>
      <c r="D7" s="16" t="n">
        <v>362.53</v>
      </c>
      <c r="E7" s="16" t="n">
        <v>0</v>
      </c>
      <c r="F7" s="12">
        <f>IF(D7&gt;0, (E7-D7)/D7, 0)</f>
        <v/>
      </c>
      <c r="G7" s="16" t="n">
        <v>55.09</v>
      </c>
      <c r="H7" s="16" t="n">
        <v>0</v>
      </c>
      <c r="I7" s="16" t="n">
        <v>84.45</v>
      </c>
      <c r="J7" s="16" t="n">
        <v>0</v>
      </c>
      <c r="K7" s="17" t="n">
        <v>0</v>
      </c>
      <c r="L7" s="17" t="n">
        <v>0</v>
      </c>
    </row>
    <row r="8" ht="20" customHeight="1">
      <c r="A8" s="9" t="inlineStr">
        <is>
          <t>POC</t>
        </is>
      </c>
      <c r="B8" s="9" t="inlineStr">
        <is>
          <t>20 conn (2 threads)</t>
        </is>
      </c>
      <c r="C8" s="18" t="inlineStr">
        <is>
          <t>3join</t>
        </is>
      </c>
      <c r="D8" s="11" t="n">
        <v>385.8</v>
      </c>
      <c r="E8" s="11" t="n">
        <v>0</v>
      </c>
      <c r="F8" s="12">
        <f>IF(D8&gt;0, (E8-D8)/D8, 0)</f>
        <v/>
      </c>
      <c r="G8" s="11" t="n">
        <v>51.78</v>
      </c>
      <c r="H8" s="11" t="n">
        <v>0</v>
      </c>
      <c r="I8" s="11" t="n">
        <v>88.98999999999999</v>
      </c>
      <c r="J8" s="11" t="n">
        <v>0</v>
      </c>
      <c r="K8" s="13" t="n">
        <v>0</v>
      </c>
      <c r="L8" s="13" t="n">
        <v>0</v>
      </c>
    </row>
    <row r="9" ht="20" customHeight="1">
      <c r="A9" s="14" t="inlineStr">
        <is>
          <t>POC</t>
        </is>
      </c>
      <c r="B9" s="14" t="inlineStr">
        <is>
          <t>20 conn (2 threads)</t>
        </is>
      </c>
      <c r="C9" s="19" t="inlineStr">
        <is>
          <t>4join</t>
        </is>
      </c>
      <c r="D9" s="16" t="n">
        <v>343.4</v>
      </c>
      <c r="E9" s="16" t="n">
        <v>0</v>
      </c>
      <c r="F9" s="12">
        <f>IF(D9&gt;0, (E9-D9)/D9, 0)</f>
        <v/>
      </c>
      <c r="G9" s="16" t="n">
        <v>58.18</v>
      </c>
      <c r="H9" s="16" t="n">
        <v>0</v>
      </c>
      <c r="I9" s="16" t="n">
        <v>93.5</v>
      </c>
      <c r="J9" s="16" t="n">
        <v>0</v>
      </c>
      <c r="K9" s="17" t="n">
        <v>0</v>
      </c>
      <c r="L9" s="17" t="n">
        <v>0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 ht="24" customHeight="1">
      <c r="A40" s="7" t="inlineStr">
        <is>
          <t>2. GET (WITH-INDEX) SUITE - INDEXED B-TREE POINT LOOKUPS</t>
        </is>
      </c>
    </row>
    <row r="41" ht="22" customHeight="1">
      <c r="A41" s="8" t="inlineStr">
        <is>
          <t>Tier</t>
        </is>
      </c>
      <c r="B41" s="8" t="inlineStr">
        <is>
          <t>Concurrency</t>
        </is>
      </c>
      <c r="C41" s="8" t="inlineStr">
        <is>
          <t>Endpoint</t>
        </is>
      </c>
      <c r="D41" s="8" t="inlineStr">
        <is>
          <t>Docker Req/s</t>
        </is>
      </c>
      <c r="E41" s="8" t="inlineStr">
        <is>
          <t>BME Req/s</t>
        </is>
      </c>
      <c r="F41" s="8" t="inlineStr">
        <is>
          <t>BME Gain (%)</t>
        </is>
      </c>
      <c r="G41" s="8" t="inlineStr">
        <is>
          <t>Docker Mean (ms)</t>
        </is>
      </c>
      <c r="H41" s="8" t="inlineStr">
        <is>
          <t>BME Mean (ms)</t>
        </is>
      </c>
      <c r="I41" s="8" t="inlineStr">
        <is>
          <t>Docker P95 (ms)</t>
        </is>
      </c>
      <c r="J41" s="8" t="inlineStr">
        <is>
          <t>BME P95 (ms)</t>
        </is>
      </c>
      <c r="K41" s="8" t="inlineStr">
        <is>
          <t>Docker Errors</t>
        </is>
      </c>
      <c r="L41" s="8" t="inlineStr">
        <is>
          <t>BME Errors</t>
        </is>
      </c>
    </row>
    <row r="42" ht="20" customHeight="1">
      <c r="A42" s="9" t="inlineStr">
        <is>
          <t>POC</t>
        </is>
      </c>
      <c r="B42" s="9" t="inlineStr">
        <is>
          <t>20 conn (2 threads)</t>
        </is>
      </c>
      <c r="C42" s="18" t="inlineStr">
        <is>
          <t>1table</t>
        </is>
      </c>
      <c r="D42" s="11" t="n">
        <v>1543.17</v>
      </c>
      <c r="E42" s="11" t="n">
        <v>0</v>
      </c>
      <c r="F42" s="12">
        <f>IF(D42&gt;0, (E42-D42)/D42, 0)</f>
        <v/>
      </c>
      <c r="G42" s="11" t="n">
        <v>12.95</v>
      </c>
      <c r="H42" s="11" t="n">
        <v>0</v>
      </c>
      <c r="I42" s="11" t="n">
        <v>16.4</v>
      </c>
      <c r="J42" s="11" t="n">
        <v>0</v>
      </c>
      <c r="K42" s="13" t="n">
        <v>0</v>
      </c>
      <c r="L42" s="13" t="n">
        <v>0</v>
      </c>
    </row>
    <row r="43" ht="20" customHeight="1">
      <c r="A43" s="14" t="inlineStr">
        <is>
          <t>POC</t>
        </is>
      </c>
      <c r="B43" s="14" t="inlineStr">
        <is>
          <t>20 conn (2 threads)</t>
        </is>
      </c>
      <c r="C43" s="19" t="inlineStr">
        <is>
          <t>2join</t>
        </is>
      </c>
      <c r="D43" s="16" t="n">
        <v>1508.03</v>
      </c>
      <c r="E43" s="16" t="n">
        <v>0</v>
      </c>
      <c r="F43" s="12">
        <f>IF(D43&gt;0, (E43-D43)/D43, 0)</f>
        <v/>
      </c>
      <c r="G43" s="16" t="n">
        <v>13.26</v>
      </c>
      <c r="H43" s="16" t="n">
        <v>0</v>
      </c>
      <c r="I43" s="16" t="n">
        <v>16.23</v>
      </c>
      <c r="J43" s="16" t="n">
        <v>0</v>
      </c>
      <c r="K43" s="17" t="n">
        <v>0</v>
      </c>
      <c r="L43" s="17" t="n">
        <v>0</v>
      </c>
    </row>
    <row r="44" ht="20" customHeight="1">
      <c r="A44" s="9" t="inlineStr">
        <is>
          <t>POC</t>
        </is>
      </c>
      <c r="B44" s="9" t="inlineStr">
        <is>
          <t>20 conn (2 threads)</t>
        </is>
      </c>
      <c r="C44" s="18" t="inlineStr">
        <is>
          <t>3join</t>
        </is>
      </c>
      <c r="D44" s="11" t="n">
        <v>1473.81</v>
      </c>
      <c r="E44" s="11" t="n">
        <v>0</v>
      </c>
      <c r="F44" s="12">
        <f>IF(D44&gt;0, (E44-D44)/D44, 0)</f>
        <v/>
      </c>
      <c r="G44" s="11" t="n">
        <v>13.57</v>
      </c>
      <c r="H44" s="11" t="n">
        <v>0</v>
      </c>
      <c r="I44" s="11" t="n">
        <v>19.14</v>
      </c>
      <c r="J44" s="11" t="n">
        <v>0</v>
      </c>
      <c r="K44" s="13" t="n">
        <v>0</v>
      </c>
      <c r="L44" s="13" t="n">
        <v>0</v>
      </c>
    </row>
    <row r="45" ht="20" customHeight="1">
      <c r="A45" s="14" t="inlineStr">
        <is>
          <t>POC</t>
        </is>
      </c>
      <c r="B45" s="14" t="inlineStr">
        <is>
          <t>20 conn (2 threads)</t>
        </is>
      </c>
      <c r="C45" s="19" t="inlineStr">
        <is>
          <t>4join</t>
        </is>
      </c>
      <c r="D45" s="16" t="n">
        <v>1305.66</v>
      </c>
      <c r="E45" s="16" t="n">
        <v>0</v>
      </c>
      <c r="F45" s="12">
        <f>IF(D45&gt;0, (E45-D45)/D45, 0)</f>
        <v/>
      </c>
      <c r="G45" s="16" t="n">
        <v>15.31</v>
      </c>
      <c r="H45" s="16" t="n">
        <v>0</v>
      </c>
      <c r="I45" s="16" t="n">
        <v>21.81</v>
      </c>
      <c r="J45" s="16" t="n">
        <v>0</v>
      </c>
      <c r="K45" s="17" t="n">
        <v>0</v>
      </c>
      <c r="L45" s="17" t="n">
        <v>0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 ht="24" customHeight="1">
      <c r="A76" s="7" t="inlineStr">
        <is>
          <t>3. POST SUITE - WRITE &amp; MULTI-TABLE TRANSACTIONS</t>
        </is>
      </c>
    </row>
    <row r="77" ht="22" customHeight="1">
      <c r="A77" s="8" t="inlineStr">
        <is>
          <t>Tier</t>
        </is>
      </c>
      <c r="B77" s="8" t="inlineStr">
        <is>
          <t>Concurrency</t>
        </is>
      </c>
      <c r="C77" s="8" t="inlineStr">
        <is>
          <t>Endpoint</t>
        </is>
      </c>
      <c r="D77" s="8" t="inlineStr">
        <is>
          <t>Docker Req/s</t>
        </is>
      </c>
      <c r="E77" s="8" t="inlineStr">
        <is>
          <t>BME Req/s</t>
        </is>
      </c>
      <c r="F77" s="8" t="inlineStr">
        <is>
          <t>BME Gain (%)</t>
        </is>
      </c>
      <c r="G77" s="8" t="inlineStr">
        <is>
          <t>Docker Mean (ms)</t>
        </is>
      </c>
      <c r="H77" s="8" t="inlineStr">
        <is>
          <t>BME Mean (ms)</t>
        </is>
      </c>
      <c r="I77" s="8" t="inlineStr">
        <is>
          <t>Docker P95 (ms)</t>
        </is>
      </c>
      <c r="J77" s="8" t="inlineStr">
        <is>
          <t>BME P95 (ms)</t>
        </is>
      </c>
      <c r="K77" s="8" t="inlineStr">
        <is>
          <t>Docker Errors</t>
        </is>
      </c>
      <c r="L77" s="8" t="inlineStr">
        <is>
          <t>BME Errors</t>
        </is>
      </c>
    </row>
    <row r="78" ht="20" customHeight="1">
      <c r="A78" s="9" t="inlineStr">
        <is>
          <t>POC</t>
        </is>
      </c>
      <c r="B78" s="9" t="inlineStr">
        <is>
          <t>20 conn (2 threads)</t>
        </is>
      </c>
      <c r="C78" s="18" t="inlineStr">
        <is>
          <t>1table</t>
        </is>
      </c>
      <c r="D78" s="11" t="n">
        <v>8822.719999999999</v>
      </c>
      <c r="E78" s="11" t="n">
        <v>0</v>
      </c>
      <c r="F78" s="12">
        <f>IF(D78&gt;0, (E78-D78)/D78, 0)</f>
        <v/>
      </c>
      <c r="G78" s="11" t="n">
        <v>2.26</v>
      </c>
      <c r="H78" s="11" t="n">
        <v>0</v>
      </c>
      <c r="I78" s="11" t="n">
        <v>2.98</v>
      </c>
      <c r="J78" s="11" t="n">
        <v>0</v>
      </c>
      <c r="K78" s="13" t="n">
        <v>0</v>
      </c>
      <c r="L78" s="13" t="n">
        <v>0</v>
      </c>
    </row>
    <row r="79" ht="20" customHeight="1">
      <c r="A79" s="14" t="inlineStr">
        <is>
          <t>POC</t>
        </is>
      </c>
      <c r="B79" s="14" t="inlineStr">
        <is>
          <t>20 conn (2 threads)</t>
        </is>
      </c>
      <c r="C79" s="19" t="inlineStr">
        <is>
          <t>2table</t>
        </is>
      </c>
      <c r="D79" s="16" t="n">
        <v>5937.1</v>
      </c>
      <c r="E79" s="16" t="n">
        <v>0</v>
      </c>
      <c r="F79" s="12">
        <f>IF(D79&gt;0, (E79-D79)/D79, 0)</f>
        <v/>
      </c>
      <c r="G79" s="16" t="n">
        <v>3.46</v>
      </c>
      <c r="H79" s="16" t="n">
        <v>0</v>
      </c>
      <c r="I79" s="16" t="n">
        <v>4.31</v>
      </c>
      <c r="J79" s="16" t="n">
        <v>0</v>
      </c>
      <c r="K79" s="17" t="n">
        <v>0</v>
      </c>
      <c r="L79" s="17" t="n">
        <v>0</v>
      </c>
    </row>
    <row r="80" ht="20" customHeight="1">
      <c r="A80" s="9" t="inlineStr">
        <is>
          <t>POC</t>
        </is>
      </c>
      <c r="B80" s="9" t="inlineStr">
        <is>
          <t>20 conn (2 threads)</t>
        </is>
      </c>
      <c r="C80" s="18" t="inlineStr">
        <is>
          <t>3table</t>
        </is>
      </c>
      <c r="D80" s="11" t="n">
        <v>5037.29</v>
      </c>
      <c r="E80" s="11" t="n">
        <v>0</v>
      </c>
      <c r="F80" s="12">
        <f>IF(D80&gt;0, (E80-D80)/D80, 0)</f>
        <v/>
      </c>
      <c r="G80" s="11" t="n">
        <v>4.06</v>
      </c>
      <c r="H80" s="11" t="n">
        <v>0</v>
      </c>
      <c r="I80" s="11" t="n">
        <v>4.83</v>
      </c>
      <c r="J80" s="11" t="n">
        <v>0</v>
      </c>
      <c r="K80" s="13" t="n">
        <v>0</v>
      </c>
      <c r="L80" s="13" t="n">
        <v>0</v>
      </c>
    </row>
    <row r="81" ht="20" customHeight="1">
      <c r="A81" s="14" t="inlineStr">
        <is>
          <t>POC</t>
        </is>
      </c>
      <c r="B81" s="14" t="inlineStr">
        <is>
          <t>20 conn (2 threads)</t>
        </is>
      </c>
      <c r="C81" s="19" t="inlineStr">
        <is>
          <t>4table</t>
        </is>
      </c>
      <c r="D81" s="16" t="n">
        <v>4543.08</v>
      </c>
      <c r="E81" s="16" t="n">
        <v>0</v>
      </c>
      <c r="F81" s="12">
        <f>IF(D81&gt;0, (E81-D81)/D81, 0)</f>
        <v/>
      </c>
      <c r="G81" s="16" t="n">
        <v>4.52</v>
      </c>
      <c r="H81" s="16" t="n">
        <v>0</v>
      </c>
      <c r="I81" s="16" t="n">
        <v>5.25</v>
      </c>
      <c r="J81" s="16" t="n">
        <v>0</v>
      </c>
      <c r="K81" s="17" t="n">
        <v>0</v>
      </c>
      <c r="L81" s="17" t="n">
        <v>0</v>
      </c>
    </row>
  </sheetData>
  <mergeCells count="5">
    <mergeCell ref="A2:L2"/>
    <mergeCell ref="A76:L76"/>
    <mergeCell ref="A1:L1"/>
    <mergeCell ref="A40:L40"/>
    <mergeCell ref="A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2026-10-04T08:56:35Z</dcterms:created>
  <dcterms:modified xsi:type="dcterms:W3CDTF">2026-10-04T08:56:35Z</dcterms:modified>
</cp:coreProperties>
</file>