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ython" sheetId="2" state="visible" r:id="rId2"/>
    <sheet xmlns:r="http://schemas.openxmlformats.org/officeDocument/2006/relationships" name="Node.js" sheetId="3" state="visible" r:id="rId3"/>
    <sheet xmlns:r="http://schemas.openxmlformats.org/officeDocument/2006/relationships" name="PHP" sheetId="4" state="visible" r:id="rId4"/>
    <sheet xmlns:r="http://schemas.openxmlformats.org/officeDocument/2006/relationships" name="Go" sheetId="5" state="visible" r:id="rId5"/>
    <sheet xmlns:r="http://schemas.openxmlformats.org/officeDocument/2006/relationships" name="Java" sheetId="6" state="visible" r:id="rId6"/>
    <sheet xmlns:r="http://schemas.openxmlformats.org/officeDocument/2006/relationships" name="Python (opt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4" fontId="8" fillId="8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right" vertical="center"/>
    </xf>
    <xf numFmtId="164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3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Read Throughput: Docker vs Bare Metal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Dashboard'!E14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Dashboard'!$E$15:$E$19</f>
            </numRef>
          </val>
        </ser>
        <ser>
          <idx val="1"/>
          <order val="1"/>
          <tx>
            <strRef>
              <f>'Overview Dashboard'!F14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Tail Latency (P95 ms): Docker vs Bare Metal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Dashboard'!J14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Dashboard'!$J$15:$J$19</f>
            </numRef>
          </val>
        </ser>
        <ser>
          <idx val="1"/>
          <order val="1"/>
          <tx>
            <strRef>
              <f>'Overview Dashboard'!K14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Dashboard'!$K$15:$K$19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'Python'!$D$6:$D$13</f>
            </numRef>
          </val>
        </ser>
        <ser>
          <idx val="1"/>
          <order val="1"/>
          <tx>
            <strRef>
              <f>'Python'!E5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'Python'!$I$6:$I$13</f>
            </numRef>
          </val>
        </ser>
        <ser>
          <idx val="1"/>
          <order val="1"/>
          <tx>
            <strRef>
              <f>'Python'!J5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'Python'!$C$6:$C$13</f>
            </numRef>
          </cat>
          <val>
            <numRef>
              <f>'Python'!$J$6:$J$13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'Node.js'!$D$6:$D$13</f>
            </numRef>
          </val>
        </ser>
        <ser>
          <idx val="1"/>
          <order val="1"/>
          <tx>
            <strRef>
              <f>'Node.js'!E5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'Node.js'!$I$6:$I$13</f>
            </numRef>
          </val>
        </ser>
        <ser>
          <idx val="1"/>
          <order val="1"/>
          <tx>
            <strRef>
              <f>'Node.js'!J5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'Node.js'!$C$6:$C$13</f>
            </numRef>
          </cat>
          <val>
            <numRef>
              <f>'Node.js'!$J$6:$J$13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'PHP'!$D$6:$D$13</f>
            </numRef>
          </val>
        </ser>
        <ser>
          <idx val="1"/>
          <order val="1"/>
          <tx>
            <strRef>
              <f>'PHP'!E5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'PHP'!$I$6:$I$13</f>
            </numRef>
          </val>
        </ser>
        <ser>
          <idx val="1"/>
          <order val="1"/>
          <tx>
            <strRef>
              <f>'PHP'!J5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'PHP'!$C$6:$C$13</f>
            </numRef>
          </cat>
          <val>
            <numRef>
              <f>'PHP'!$J$6:$J$13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'Go'!$D$6:$D$13</f>
            </numRef>
          </val>
        </ser>
        <ser>
          <idx val="1"/>
          <order val="1"/>
          <tx>
            <strRef>
              <f>'Go'!E5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'Go'!$I$6:$I$13</f>
            </numRef>
          </val>
        </ser>
        <ser>
          <idx val="1"/>
          <order val="1"/>
          <tx>
            <strRef>
              <f>'Go'!J5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'Go'!$C$6:$C$13</f>
            </numRef>
          </cat>
          <val>
            <numRef>
              <f>'Go'!$J$6:$J$13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'Java'!$D$6:$D$13</f>
            </numRef>
          </val>
        </ser>
        <ser>
          <idx val="1"/>
          <order val="1"/>
          <tx>
            <strRef>
              <f>'Java'!E5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'Java'!$I$6:$I$13</f>
            </numRef>
          </val>
        </ser>
        <ser>
          <idx val="1"/>
          <order val="1"/>
          <tx>
            <strRef>
              <f>'Java'!J5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'Java'!$C$6:$C$13</f>
            </numRef>
          </cat>
          <val>
            <numRef>
              <f>'Java'!$J$6:$J$13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(opt.)'!$D$6:$D$13</f>
            </numRef>
          </val>
        </ser>
        <ser>
          <idx val="1"/>
          <order val="1"/>
          <tx>
            <strRef>
              <f>'Python (opt.)'!E5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(opt.)'!I5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(opt.)'!$I$6:$I$13</f>
            </numRef>
          </val>
        </ser>
        <ser>
          <idx val="1"/>
          <order val="1"/>
          <tx>
            <strRef>
              <f>'Python (opt.)'!J5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'Python (opt.)'!$C$6:$C$13</f>
            </numRef>
          </cat>
          <val>
            <numRef>
              <f>'Python (opt.)'!$J$6:$J$13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7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7" customWidth="1" min="2" max="2"/>
    <col width="14" customWidth="1" min="3" max="3"/>
    <col width="11" customWidth="1" min="4" max="4"/>
    <col width="28" customWidth="1" min="5" max="5"/>
    <col width="14" customWidth="1" min="6" max="6"/>
    <col width="31" customWidth="1" min="7" max="7"/>
    <col width="26" customWidth="1" min="8" max="8"/>
    <col width="15" customWidth="1" min="9" max="9"/>
    <col width="18" customWidth="1" min="10" max="10"/>
    <col width="27" customWidth="1" min="11" max="11"/>
    <col width="16" customWidth="1" min="12" max="12"/>
    <col width="13" customWidth="1" min="13" max="13"/>
  </cols>
  <sheetData>
    <row r="1" ht="26" customHeight="1">
      <c r="A1" s="1" t="inlineStr">
        <is>
          <t>PROGRAMMING BENCHMARK - EXECUTIVE PERFORMANCE DASHBOARD</t>
        </is>
      </c>
    </row>
    <row r="2" ht="18" customHeight="1">
      <c r="A2" s="2" t="inlineStr">
        <is>
          <t>Multi-Language Web Framework Evaluation: Docker Containerization vs Bare Metal (Host)</t>
        </is>
      </c>
    </row>
    <row r="3" ht="10" customHeight="1"/>
    <row r="4">
      <c r="B4" s="3" t="inlineStr">
        <is>
          <t>TOP THROUGHPUT FRAMEWORK</t>
        </is>
      </c>
      <c r="C4" s="4" t="n"/>
      <c r="E4" s="3" t="inlineStr">
        <is>
          <t>AVG CONTAINER OVERHEAD</t>
        </is>
      </c>
      <c r="F4" s="4" t="n"/>
      <c r="H4" s="3" t="inlineStr">
        <is>
          <t>SECONDARY INDEX SPEEDUP</t>
        </is>
      </c>
      <c r="I4" s="4" t="n"/>
      <c r="K4" s="3" t="inlineStr">
        <is>
          <t>TOTAL METRIC DATA POINTS</t>
        </is>
      </c>
      <c r="L4" s="4" t="n"/>
    </row>
    <row r="5">
      <c r="B5" s="5" t="inlineStr">
        <is>
          <t>Go (Fiber)</t>
        </is>
      </c>
      <c r="C5" s="4" t="n"/>
      <c r="E5" s="5" t="inlineStr">
        <is>
          <t>-14.8%</t>
        </is>
      </c>
      <c r="F5" s="4" t="n"/>
      <c r="H5" s="5" t="inlineStr">
        <is>
          <t>24.6x</t>
        </is>
      </c>
      <c r="I5" s="4" t="n"/>
      <c r="K5" s="5" t="inlineStr">
        <is>
          <t>2,000 Runs</t>
        </is>
      </c>
      <c r="L5" s="4" t="n"/>
    </row>
    <row r="6">
      <c r="B6" s="6" t="inlineStr">
        <is>
          <t>Peak: 39,576 Req/s (BME)</t>
        </is>
      </c>
      <c r="C6" s="4" t="n"/>
      <c r="E6" s="6" t="inlineStr">
        <is>
          <t>Throughput Loss in Docker</t>
        </is>
      </c>
      <c r="F6" s="4" t="n"/>
      <c r="H6" s="6" t="inlineStr">
        <is>
          <t>Indexed vs Full Scan</t>
        </is>
      </c>
      <c r="I6" s="4" t="n"/>
      <c r="K6" s="6" t="inlineStr">
        <is>
          <t>20 Iterations / Endpoint</t>
        </is>
      </c>
      <c r="L6" s="4" t="n"/>
    </row>
    <row r="7" ht="14" customHeight="1"/>
    <row r="8" ht="24" customHeight="1">
      <c r="A8" s="7" t="inlineStr">
        <is>
          <t>EXECUTIVE COMPARISON MATRIX: DOCKER VS BARE METAL BY FRAMEWORK (Light / POC Tier)</t>
        </is>
      </c>
    </row>
    <row r="9" ht="22" customHeight="1">
      <c r="A9" s="8" t="inlineStr">
        <is>
          <t>Suite</t>
        </is>
      </c>
      <c r="B9" s="8" t="inlineStr">
        <is>
          <t>Language</t>
        </is>
      </c>
      <c r="C9" s="8" t="inlineStr">
        <is>
          <t>Framework</t>
        </is>
      </c>
      <c r="D9" s="8" t="inlineStr">
        <is>
          <t>Tier</t>
        </is>
      </c>
      <c r="E9" s="8" t="inlineStr">
        <is>
          <t>Docker (Req/s)</t>
        </is>
      </c>
      <c r="F9" s="8" t="inlineStr">
        <is>
          <t>BME (Req/s)</t>
        </is>
      </c>
      <c r="G9" s="8" t="inlineStr">
        <is>
          <t>BME Gain (%)</t>
        </is>
      </c>
      <c r="H9" s="8" t="inlineStr">
        <is>
          <t>Docker Lat (ms)</t>
        </is>
      </c>
      <c r="I9" s="8" t="inlineStr">
        <is>
          <t>BME Lat (ms)</t>
        </is>
      </c>
      <c r="J9" s="8" t="inlineStr">
        <is>
          <t>Docker P95 (ms)</t>
        </is>
      </c>
      <c r="K9" s="8" t="inlineStr">
        <is>
          <t>BME P95 (ms)</t>
        </is>
      </c>
      <c r="L9" s="8" t="inlineStr">
        <is>
          <t>Docker Errors</t>
        </is>
      </c>
      <c r="M9" s="8" t="inlineStr">
        <is>
          <t>BME Errors</t>
        </is>
      </c>
    </row>
    <row r="10" ht="20" customHeight="1">
      <c r="A10" s="9" t="inlineStr">
        <is>
          <t>GET No-Index</t>
        </is>
      </c>
      <c r="B10" s="10" t="inlineStr">
        <is>
          <t>Python</t>
        </is>
      </c>
      <c r="C10" s="9" t="inlineStr">
        <is>
          <t>FastAPI</t>
        </is>
      </c>
      <c r="D10" s="9" t="inlineStr">
        <is>
          <t>POC</t>
        </is>
      </c>
      <c r="E10" s="11" t="n">
        <v>1539.17</v>
      </c>
      <c r="F10" s="11" t="n">
        <v>470.24</v>
      </c>
      <c r="G10" s="12">
        <f>IF(E10&gt;0, (F10-E10)/E10, 0)</f>
        <v/>
      </c>
      <c r="H10" s="11" t="n">
        <v>12.99</v>
      </c>
      <c r="I10" s="11" t="n">
        <v>42.52</v>
      </c>
      <c r="J10" s="11" t="n">
        <v>16.29</v>
      </c>
      <c r="K10" s="11" t="n">
        <v>51.03</v>
      </c>
      <c r="L10" s="13" t="n">
        <v>0</v>
      </c>
      <c r="M10" s="13" t="n">
        <v>0</v>
      </c>
    </row>
    <row r="11" ht="20" customHeight="1">
      <c r="A11" s="14" t="inlineStr">
        <is>
          <t>GET No-Index</t>
        </is>
      </c>
      <c r="B11" s="15" t="inlineStr">
        <is>
          <t>Node.js</t>
        </is>
      </c>
      <c r="C11" s="14" t="inlineStr">
        <is>
          <t>Fastify</t>
        </is>
      </c>
      <c r="D11" s="14" t="inlineStr">
        <is>
          <t>POC</t>
        </is>
      </c>
      <c r="E11" s="16" t="n">
        <v>8940.67</v>
      </c>
      <c r="F11" s="16" t="n">
        <v>9439.01</v>
      </c>
      <c r="G11" s="17">
        <f>IF(E11&gt;0, (F11-E11)/E11, 0)</f>
        <v/>
      </c>
      <c r="H11" s="16" t="n">
        <v>2.27</v>
      </c>
      <c r="I11" s="16" t="n">
        <v>2.15</v>
      </c>
      <c r="J11" s="16" t="n">
        <v>2.81</v>
      </c>
      <c r="K11" s="16" t="n">
        <v>2.85</v>
      </c>
      <c r="L11" s="18" t="n">
        <v>0</v>
      </c>
      <c r="M11" s="18" t="n">
        <v>0</v>
      </c>
    </row>
    <row r="12" ht="20" customHeight="1">
      <c r="A12" s="9" t="inlineStr">
        <is>
          <t>GET No-Index</t>
        </is>
      </c>
      <c r="B12" s="10" t="inlineStr">
        <is>
          <t>PHP</t>
        </is>
      </c>
      <c r="C12" s="9" t="inlineStr">
        <is>
          <t>Swoole</t>
        </is>
      </c>
      <c r="D12" s="9" t="inlineStr">
        <is>
          <t>POC</t>
        </is>
      </c>
      <c r="E12" s="11" t="n">
        <v>20156.65</v>
      </c>
      <c r="F12" s="11" t="n">
        <v>15317.41</v>
      </c>
      <c r="G12" s="12">
        <f>IF(E12&gt;0, (F12-E12)/E12, 0)</f>
        <v/>
      </c>
      <c r="H12" s="11" t="n">
        <v>0.99</v>
      </c>
      <c r="I12" s="11" t="n">
        <v>1.36</v>
      </c>
      <c r="J12" s="11" t="n">
        <v>1.34</v>
      </c>
      <c r="K12" s="11" t="n">
        <v>2.66</v>
      </c>
      <c r="L12" s="13" t="n">
        <v>0</v>
      </c>
      <c r="M12" s="13" t="n">
        <v>0</v>
      </c>
    </row>
    <row r="13" ht="20" customHeight="1">
      <c r="A13" s="14" t="inlineStr">
        <is>
          <t>GET No-Index</t>
        </is>
      </c>
      <c r="B13" s="15" t="inlineStr">
        <is>
          <t>Go</t>
        </is>
      </c>
      <c r="C13" s="14" t="inlineStr">
        <is>
          <t>Fiber</t>
        </is>
      </c>
      <c r="D13" s="14" t="inlineStr">
        <is>
          <t>POC</t>
        </is>
      </c>
      <c r="E13" s="16" t="n">
        <v>4787.56</v>
      </c>
      <c r="F13" s="16" t="n">
        <v>0</v>
      </c>
      <c r="G13" s="12">
        <f>IF(E13&gt;0, (F13-E13)/E13, 0)</f>
        <v/>
      </c>
      <c r="H13" s="16" t="n">
        <v>4.15</v>
      </c>
      <c r="I13" s="16" t="n">
        <v>0</v>
      </c>
      <c r="J13" s="16" t="n">
        <v>5.83</v>
      </c>
      <c r="K13" s="16" t="n">
        <v>0</v>
      </c>
      <c r="L13" s="18" t="n">
        <v>0</v>
      </c>
      <c r="M13" s="18" t="n">
        <v>0</v>
      </c>
    </row>
    <row r="14" ht="20" customHeight="1">
      <c r="A14" s="9" t="inlineStr">
        <is>
          <t>GET No-Index</t>
        </is>
      </c>
      <c r="B14" s="10" t="inlineStr">
        <is>
          <t>Java</t>
        </is>
      </c>
      <c r="C14" s="9" t="inlineStr">
        <is>
          <t>Spring Boot</t>
        </is>
      </c>
      <c r="D14" s="9" t="inlineStr">
        <is>
          <t>POC</t>
        </is>
      </c>
      <c r="E14" s="11" t="n">
        <v>9812.719999999999</v>
      </c>
      <c r="F14" s="11" t="n">
        <v>0</v>
      </c>
      <c r="G14" s="12">
        <f>IF(E14&gt;0, (F14-E14)/E14, 0)</f>
        <v/>
      </c>
      <c r="H14" s="11" t="n">
        <v>2.04</v>
      </c>
      <c r="I14" s="11" t="n">
        <v>0</v>
      </c>
      <c r="J14" s="11" t="n">
        <v>2.48</v>
      </c>
      <c r="K14" s="11" t="n">
        <v>0</v>
      </c>
      <c r="L14" s="13" t="n">
        <v>0</v>
      </c>
      <c r="M14" s="13" t="n">
        <v>0</v>
      </c>
    </row>
    <row r="15" ht="20" customHeight="1">
      <c r="A15" s="14" t="inlineStr">
        <is>
          <t>GET With-Index</t>
        </is>
      </c>
      <c r="B15" s="15" t="inlineStr">
        <is>
          <t>Python</t>
        </is>
      </c>
      <c r="C15" s="14" t="inlineStr">
        <is>
          <t>FastAPI</t>
        </is>
      </c>
      <c r="D15" s="14" t="inlineStr">
        <is>
          <t>POC</t>
        </is>
      </c>
      <c r="E15" s="16" t="n">
        <v>0</v>
      </c>
      <c r="F15" s="16" t="n">
        <v>0</v>
      </c>
      <c r="G15" s="19">
        <f>IF(E15&gt;0, (F15-E15)/E15, 0)</f>
        <v/>
      </c>
      <c r="H15" s="16" t="n">
        <v>0</v>
      </c>
      <c r="I15" s="16" t="n">
        <v>0</v>
      </c>
      <c r="J15" s="16" t="n">
        <v>0</v>
      </c>
      <c r="K15" s="16" t="n">
        <v>0</v>
      </c>
      <c r="L15" s="18" t="n">
        <v>0</v>
      </c>
      <c r="M15" s="18" t="n">
        <v>0</v>
      </c>
    </row>
    <row r="16" ht="20" customHeight="1">
      <c r="A16" s="9" t="inlineStr">
        <is>
          <t>GET With-Index</t>
        </is>
      </c>
      <c r="B16" s="10" t="inlineStr">
        <is>
          <t>Node.js</t>
        </is>
      </c>
      <c r="C16" s="9" t="inlineStr">
        <is>
          <t>Fastify</t>
        </is>
      </c>
      <c r="D16" s="9" t="inlineStr">
        <is>
          <t>POC</t>
        </is>
      </c>
      <c r="E16" s="11" t="n">
        <v>0</v>
      </c>
      <c r="F16" s="11" t="n">
        <v>0</v>
      </c>
      <c r="G16" s="20">
        <f>IF(E16&gt;0, (F16-E16)/E16, 0)</f>
        <v/>
      </c>
      <c r="H16" s="11" t="n">
        <v>0</v>
      </c>
      <c r="I16" s="11" t="n">
        <v>0</v>
      </c>
      <c r="J16" s="11" t="n">
        <v>0</v>
      </c>
      <c r="K16" s="11" t="n">
        <v>0</v>
      </c>
      <c r="L16" s="13" t="n">
        <v>0</v>
      </c>
      <c r="M16" s="13" t="n">
        <v>0</v>
      </c>
    </row>
    <row r="17" ht="20" customHeight="1">
      <c r="A17" s="14" t="inlineStr">
        <is>
          <t>GET With-Index</t>
        </is>
      </c>
      <c r="B17" s="15" t="inlineStr">
        <is>
          <t>PHP</t>
        </is>
      </c>
      <c r="C17" s="14" t="inlineStr">
        <is>
          <t>Swoole</t>
        </is>
      </c>
      <c r="D17" s="14" t="inlineStr">
        <is>
          <t>POC</t>
        </is>
      </c>
      <c r="E17" s="16" t="n">
        <v>0</v>
      </c>
      <c r="F17" s="16" t="n">
        <v>0</v>
      </c>
      <c r="G17" s="19">
        <f>IF(E17&gt;0, (F17-E17)/E17, 0)</f>
        <v/>
      </c>
      <c r="H17" s="16" t="n">
        <v>0</v>
      </c>
      <c r="I17" s="16" t="n">
        <v>0</v>
      </c>
      <c r="J17" s="16" t="n">
        <v>0</v>
      </c>
      <c r="K17" s="16" t="n">
        <v>0</v>
      </c>
      <c r="L17" s="18" t="n">
        <v>0</v>
      </c>
      <c r="M17" s="18" t="n">
        <v>0</v>
      </c>
    </row>
    <row r="18" ht="20" customHeight="1">
      <c r="A18" s="9" t="inlineStr">
        <is>
          <t>GET With-Index</t>
        </is>
      </c>
      <c r="B18" s="10" t="inlineStr">
        <is>
          <t>Go</t>
        </is>
      </c>
      <c r="C18" s="9" t="inlineStr">
        <is>
          <t>Fiber</t>
        </is>
      </c>
      <c r="D18" s="9" t="inlineStr">
        <is>
          <t>POC</t>
        </is>
      </c>
      <c r="E18" s="11" t="n">
        <v>0</v>
      </c>
      <c r="F18" s="11" t="n">
        <v>0</v>
      </c>
      <c r="G18" s="20">
        <f>IF(E18&gt;0, (F18-E18)/E18, 0)</f>
        <v/>
      </c>
      <c r="H18" s="11" t="n">
        <v>0</v>
      </c>
      <c r="I18" s="11" t="n">
        <v>0</v>
      </c>
      <c r="J18" s="11" t="n">
        <v>0</v>
      </c>
      <c r="K18" s="11" t="n">
        <v>0</v>
      </c>
      <c r="L18" s="13" t="n">
        <v>0</v>
      </c>
      <c r="M18" s="13" t="n">
        <v>0</v>
      </c>
    </row>
    <row r="19" ht="20" customHeight="1">
      <c r="A19" s="14" t="inlineStr">
        <is>
          <t>GET With-Index</t>
        </is>
      </c>
      <c r="B19" s="15" t="inlineStr">
        <is>
          <t>Java</t>
        </is>
      </c>
      <c r="C19" s="14" t="inlineStr">
        <is>
          <t>Spring Boot</t>
        </is>
      </c>
      <c r="D19" s="14" t="inlineStr">
        <is>
          <t>POC</t>
        </is>
      </c>
      <c r="E19" s="16" t="n">
        <v>0</v>
      </c>
      <c r="F19" s="16" t="n">
        <v>0</v>
      </c>
      <c r="G19" s="19">
        <f>IF(E19&gt;0, (F19-E19)/E19, 0)</f>
        <v/>
      </c>
      <c r="H19" s="16" t="n">
        <v>0</v>
      </c>
      <c r="I19" s="16" t="n">
        <v>0</v>
      </c>
      <c r="J19" s="16" t="n">
        <v>0</v>
      </c>
      <c r="K19" s="16" t="n">
        <v>0</v>
      </c>
      <c r="L19" s="18" t="n">
        <v>0</v>
      </c>
      <c r="M19" s="18" t="n">
        <v>0</v>
      </c>
    </row>
    <row r="20" ht="20" customHeight="1">
      <c r="A20" s="9" t="inlineStr">
        <is>
          <t>POST</t>
        </is>
      </c>
      <c r="B20" s="10" t="inlineStr">
        <is>
          <t>Python</t>
        </is>
      </c>
      <c r="C20" s="9" t="inlineStr">
        <is>
          <t>FastAPI</t>
        </is>
      </c>
      <c r="D20" s="9" t="inlineStr">
        <is>
          <t>POC</t>
        </is>
      </c>
      <c r="E20" s="11" t="n">
        <v>0</v>
      </c>
      <c r="F20" s="11" t="n">
        <v>0</v>
      </c>
      <c r="G20" s="20">
        <f>IF(E20&gt;0, (F20-E20)/E20, 0)</f>
        <v/>
      </c>
      <c r="H20" s="11" t="n">
        <v>0</v>
      </c>
      <c r="I20" s="11" t="n">
        <v>0</v>
      </c>
      <c r="J20" s="11" t="n">
        <v>0</v>
      </c>
      <c r="K20" s="11" t="n">
        <v>0</v>
      </c>
      <c r="L20" s="13" t="n">
        <v>0</v>
      </c>
      <c r="M20" s="13" t="n">
        <v>0</v>
      </c>
    </row>
    <row r="21" ht="20" customHeight="1">
      <c r="A21" s="14" t="inlineStr">
        <is>
          <t>POST</t>
        </is>
      </c>
      <c r="B21" s="15" t="inlineStr">
        <is>
          <t>Node.js</t>
        </is>
      </c>
      <c r="C21" s="14" t="inlineStr">
        <is>
          <t>Fastify</t>
        </is>
      </c>
      <c r="D21" s="14" t="inlineStr">
        <is>
          <t>POC</t>
        </is>
      </c>
      <c r="E21" s="16" t="n">
        <v>0</v>
      </c>
      <c r="F21" s="16" t="n">
        <v>0</v>
      </c>
      <c r="G21" s="19">
        <f>IF(E21&gt;0, (F21-E21)/E21, 0)</f>
        <v/>
      </c>
      <c r="H21" s="16" t="n">
        <v>0</v>
      </c>
      <c r="I21" s="16" t="n">
        <v>0</v>
      </c>
      <c r="J21" s="16" t="n">
        <v>0</v>
      </c>
      <c r="K21" s="16" t="n">
        <v>0</v>
      </c>
      <c r="L21" s="18" t="n">
        <v>0</v>
      </c>
      <c r="M21" s="18" t="n">
        <v>0</v>
      </c>
    </row>
    <row r="22" ht="20" customHeight="1">
      <c r="A22" s="9" t="inlineStr">
        <is>
          <t>POST</t>
        </is>
      </c>
      <c r="B22" s="10" t="inlineStr">
        <is>
          <t>PHP</t>
        </is>
      </c>
      <c r="C22" s="9" t="inlineStr">
        <is>
          <t>Swoole</t>
        </is>
      </c>
      <c r="D22" s="9" t="inlineStr">
        <is>
          <t>POC</t>
        </is>
      </c>
      <c r="E22" s="11" t="n">
        <v>0</v>
      </c>
      <c r="F22" s="11" t="n">
        <v>0</v>
      </c>
      <c r="G22" s="20">
        <f>IF(E22&gt;0, (F22-E22)/E22, 0)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3" t="n">
        <v>0</v>
      </c>
      <c r="M22" s="13" t="n">
        <v>0</v>
      </c>
    </row>
    <row r="23" ht="20" customHeight="1">
      <c r="A23" s="14" t="inlineStr">
        <is>
          <t>POST</t>
        </is>
      </c>
      <c r="B23" s="15" t="inlineStr">
        <is>
          <t>Go</t>
        </is>
      </c>
      <c r="C23" s="14" t="inlineStr">
        <is>
          <t>Fiber</t>
        </is>
      </c>
      <c r="D23" s="14" t="inlineStr">
        <is>
          <t>POC</t>
        </is>
      </c>
      <c r="E23" s="16" t="n">
        <v>0</v>
      </c>
      <c r="F23" s="16" t="n">
        <v>0</v>
      </c>
      <c r="G23" s="19">
        <f>IF(E23&gt;0, (F23-E23)/E23, 0)</f>
        <v/>
      </c>
      <c r="H23" s="16" t="n">
        <v>0</v>
      </c>
      <c r="I23" s="16" t="n">
        <v>0</v>
      </c>
      <c r="J23" s="16" t="n">
        <v>0</v>
      </c>
      <c r="K23" s="16" t="n">
        <v>0</v>
      </c>
      <c r="L23" s="18" t="n">
        <v>0</v>
      </c>
      <c r="M23" s="18" t="n">
        <v>0</v>
      </c>
    </row>
    <row r="24" ht="20" customHeight="1">
      <c r="A24" s="9" t="inlineStr">
        <is>
          <t>POST</t>
        </is>
      </c>
      <c r="B24" s="10" t="inlineStr">
        <is>
          <t>Java</t>
        </is>
      </c>
      <c r="C24" s="9" t="inlineStr">
        <is>
          <t>Spring Boot</t>
        </is>
      </c>
      <c r="D24" s="9" t="inlineStr">
        <is>
          <t>POC</t>
        </is>
      </c>
      <c r="E24" s="11" t="n">
        <v>0</v>
      </c>
      <c r="F24" s="11" t="n">
        <v>0</v>
      </c>
      <c r="G24" s="20">
        <f>IF(E24&gt;0, (F24-E24)/E24, 0)</f>
        <v/>
      </c>
      <c r="H24" s="11" t="n">
        <v>0</v>
      </c>
      <c r="I24" s="11" t="n">
        <v>0</v>
      </c>
      <c r="J24" s="11" t="n">
        <v>0</v>
      </c>
      <c r="K24" s="11" t="n">
        <v>0</v>
      </c>
      <c r="L24" s="13" t="n">
        <v>0</v>
      </c>
      <c r="M24" s="13" t="n">
        <v>0</v>
      </c>
    </row>
  </sheetData>
  <mergeCells count="15">
    <mergeCell ref="B6:C6"/>
    <mergeCell ref="E4:F4"/>
    <mergeCell ref="E6:F6"/>
    <mergeCell ref="A1:M1"/>
    <mergeCell ref="H6:I6"/>
    <mergeCell ref="A8:M8"/>
    <mergeCell ref="B5:C5"/>
    <mergeCell ref="K6:L6"/>
    <mergeCell ref="E5:F5"/>
    <mergeCell ref="K5:L5"/>
    <mergeCell ref="H5:I5"/>
    <mergeCell ref="H4:I4"/>
    <mergeCell ref="K4:L4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(FASTAPI) - DETAILED BENCHMARK SPECIFICATION</t>
        </is>
      </c>
    </row>
    <row r="2" ht="18" customHeight="1">
      <c r="A2" s="2" t="inlineStr">
        <is>
          <t>Runtime: Python 3.12 (Uvicorn / aiomysql)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1539.17</v>
      </c>
      <c r="E6" s="11" t="n">
        <v>470.24</v>
      </c>
      <c r="F6" s="12">
        <f>IF(D6&gt;0, (E6-D6)/D6, 0)</f>
        <v/>
      </c>
      <c r="G6" s="11" t="n">
        <v>12.99</v>
      </c>
      <c r="H6" s="11" t="n">
        <v>42.52</v>
      </c>
      <c r="I6" s="11" t="n">
        <v>16.29</v>
      </c>
      <c r="J6" s="11" t="n">
        <v>51.03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416.01</v>
      </c>
      <c r="E7" s="16" t="n">
        <v>337.98</v>
      </c>
      <c r="F7" s="12">
        <f>IF(D7&gt;0, (E7-D7)/D7, 0)</f>
        <v/>
      </c>
      <c r="G7" s="16" t="n">
        <v>48.39</v>
      </c>
      <c r="H7" s="16" t="n">
        <v>59.12</v>
      </c>
      <c r="I7" s="16" t="n">
        <v>76.73</v>
      </c>
      <c r="J7" s="16" t="n">
        <v>75.66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363.37</v>
      </c>
      <c r="E8" s="11" t="n">
        <v>380.53</v>
      </c>
      <c r="F8" s="17">
        <f>IF(D8&gt;0, (E8-D8)/D8, 0)</f>
        <v/>
      </c>
      <c r="G8" s="11" t="n">
        <v>55.35</v>
      </c>
      <c r="H8" s="11" t="n">
        <v>52.54</v>
      </c>
      <c r="I8" s="11" t="n">
        <v>87.73</v>
      </c>
      <c r="J8" s="11" t="n">
        <v>68.56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346.56</v>
      </c>
      <c r="E9" s="16" t="n">
        <v>339.43</v>
      </c>
      <c r="F9" s="12">
        <f>IF(D9&gt;0, (E9-D9)/D9, 0)</f>
        <v/>
      </c>
      <c r="G9" s="16" t="n">
        <v>57.81</v>
      </c>
      <c r="H9" s="16" t="n">
        <v>58.86</v>
      </c>
      <c r="I9" s="16" t="n">
        <v>92.40000000000001</v>
      </c>
      <c r="J9" s="16" t="n">
        <v>75.84999999999999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1646.57</v>
      </c>
      <c r="E10" s="11" t="n">
        <v>480.48</v>
      </c>
      <c r="F10" s="12">
        <f>IF(D10&gt;0, (E10-D10)/D10, 0)</f>
        <v/>
      </c>
      <c r="G10" s="11" t="n">
        <v>60.74</v>
      </c>
      <c r="H10" s="11" t="n">
        <v>209.52</v>
      </c>
      <c r="I10" s="11" t="n">
        <v>69.38</v>
      </c>
      <c r="J10" s="11" t="n">
        <v>224.77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375.1</v>
      </c>
      <c r="E11" s="16" t="n">
        <v>298.14</v>
      </c>
      <c r="F11" s="12">
        <f>IF(D11&gt;0, (E11-D11)/D11, 0)</f>
        <v/>
      </c>
      <c r="G11" s="16" t="n">
        <v>267.32</v>
      </c>
      <c r="H11" s="16" t="n">
        <v>334.42</v>
      </c>
      <c r="I11" s="16" t="n">
        <v>441.4</v>
      </c>
      <c r="J11" s="16" t="n">
        <v>389.27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326.43</v>
      </c>
      <c r="E12" s="11" t="n">
        <v>317.51</v>
      </c>
      <c r="F12" s="12">
        <f>IF(D12&gt;0, (E12-D12)/D12, 0)</f>
        <v/>
      </c>
      <c r="G12" s="11" t="n">
        <v>307.27</v>
      </c>
      <c r="H12" s="11" t="n">
        <v>313.99</v>
      </c>
      <c r="I12" s="11" t="n">
        <v>514.87</v>
      </c>
      <c r="J12" s="11" t="n">
        <v>364.12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316.62</v>
      </c>
      <c r="E13" s="16" t="n">
        <v>295.69</v>
      </c>
      <c r="F13" s="12">
        <f>IF(D13&gt;0, (E13-D13)/D13, 0)</f>
        <v/>
      </c>
      <c r="G13" s="16" t="n">
        <v>316.71</v>
      </c>
      <c r="H13" s="16" t="n">
        <v>337.04</v>
      </c>
      <c r="I13" s="16" t="n">
        <v>528.92</v>
      </c>
      <c r="J13" s="16" t="n">
        <v>390.32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1677.61</v>
      </c>
      <c r="E14" s="11" t="n">
        <v>480.22</v>
      </c>
      <c r="F14" s="12">
        <f>IF(D14&gt;0, (E14-D14)/D14, 0)</f>
        <v/>
      </c>
      <c r="G14" s="11" t="n">
        <v>299.08</v>
      </c>
      <c r="H14" s="11" t="n">
        <v>1052.62</v>
      </c>
      <c r="I14" s="11" t="n">
        <v>400.83</v>
      </c>
      <c r="J14" s="11" t="n">
        <v>1067.16</v>
      </c>
      <c r="K14" s="13" t="n">
        <v>0</v>
      </c>
      <c r="L14" s="23" t="n">
        <v>1626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367.65</v>
      </c>
      <c r="E15" s="16" t="n">
        <v>295.18</v>
      </c>
      <c r="F15" s="12">
        <f>IF(D15&gt;0, (E15-D15)/D15, 0)</f>
        <v/>
      </c>
      <c r="G15" s="16" t="n">
        <v>1367.19</v>
      </c>
      <c r="H15" s="16" t="n">
        <v>1626.98</v>
      </c>
      <c r="I15" s="16" t="n">
        <v>2873.32</v>
      </c>
      <c r="J15" s="16" t="n">
        <v>1780.35</v>
      </c>
      <c r="K15" s="18" t="n">
        <v>0</v>
      </c>
      <c r="L15" s="23" t="n">
        <v>1759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321.62</v>
      </c>
      <c r="E16" s="11" t="n">
        <v>303.96</v>
      </c>
      <c r="F16" s="12">
        <f>IF(D16&gt;0, (E16-D16)/D16, 0)</f>
        <v/>
      </c>
      <c r="G16" s="11" t="n">
        <v>1550.94</v>
      </c>
      <c r="H16" s="11" t="n">
        <v>1611.55</v>
      </c>
      <c r="I16" s="11" t="n">
        <v>3176.48</v>
      </c>
      <c r="J16" s="11" t="n">
        <v>1814.42</v>
      </c>
      <c r="K16" s="13" t="n">
        <v>0</v>
      </c>
      <c r="L16" s="23" t="n">
        <v>1008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308.64</v>
      </c>
      <c r="E17" s="16" t="n">
        <v>282.62</v>
      </c>
      <c r="F17" s="12">
        <f>IF(D17&gt;0, (E17-D17)/D17, 0)</f>
        <v/>
      </c>
      <c r="G17" s="16" t="n">
        <v>1616.05</v>
      </c>
      <c r="H17" s="16" t="n">
        <v>1707.41</v>
      </c>
      <c r="I17" s="16" t="n">
        <v>3311.65</v>
      </c>
      <c r="J17" s="16" t="n">
        <v>1895.86</v>
      </c>
      <c r="K17" s="18" t="n">
        <v>0</v>
      </c>
      <c r="L17" s="23" t="n">
        <v>1444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1628.43</v>
      </c>
      <c r="E18" s="11" t="n">
        <v>445.39</v>
      </c>
      <c r="F18" s="12">
        <f>IF(D18&gt;0, (E18-D18)/D18, 0)</f>
        <v/>
      </c>
      <c r="G18" s="11" t="n">
        <v>1295.09</v>
      </c>
      <c r="H18" s="11" t="n">
        <v>3465.7</v>
      </c>
      <c r="I18" s="11" t="n">
        <v>5538.69</v>
      </c>
      <c r="J18" s="11" t="n">
        <v>4685.11</v>
      </c>
      <c r="K18" s="23" t="n">
        <v>87146</v>
      </c>
      <c r="L18" s="23" t="n">
        <v>24671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359.09</v>
      </c>
      <c r="E19" s="16" t="n">
        <v>284.37</v>
      </c>
      <c r="F19" s="12">
        <f>IF(D19&gt;0, (E19-D19)/D19, 0)</f>
        <v/>
      </c>
      <c r="G19" s="16" t="n">
        <v>4094.19</v>
      </c>
      <c r="H19" s="16" t="n">
        <v>4843.89</v>
      </c>
      <c r="I19" s="16" t="n">
        <v>8311.35</v>
      </c>
      <c r="J19" s="16" t="n">
        <v>7283.37</v>
      </c>
      <c r="K19" s="23" t="n">
        <v>113591</v>
      </c>
      <c r="L19" s="23" t="n">
        <v>28207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313</v>
      </c>
      <c r="E20" s="11" t="n">
        <v>285.41</v>
      </c>
      <c r="F20" s="12">
        <f>IF(D20&gt;0, (E20-D20)/D20, 0)</f>
        <v/>
      </c>
      <c r="G20" s="11" t="n">
        <v>5460.79</v>
      </c>
      <c r="H20" s="11" t="n">
        <v>4783.04</v>
      </c>
      <c r="I20" s="11" t="n">
        <v>9063.690000000001</v>
      </c>
      <c r="J20" s="11" t="n">
        <v>7445.26</v>
      </c>
      <c r="K20" s="23" t="n">
        <v>74133</v>
      </c>
      <c r="L20" s="23" t="n">
        <v>28703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300.72</v>
      </c>
      <c r="E21" s="16" t="n">
        <v>265.24</v>
      </c>
      <c r="F21" s="12">
        <f>IF(D21&gt;0, (E21-D21)/D21, 0)</f>
        <v/>
      </c>
      <c r="G21" s="16" t="n">
        <v>4670.08</v>
      </c>
      <c r="H21" s="16" t="n">
        <v>4934.91</v>
      </c>
      <c r="I21" s="16" t="n">
        <v>8995.290000000001</v>
      </c>
      <c r="J21" s="16" t="n">
        <v>7735.6</v>
      </c>
      <c r="K21" s="23" t="n">
        <v>132003</v>
      </c>
      <c r="L21" s="23" t="n">
        <v>28954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1426.62</v>
      </c>
      <c r="E22" s="11" t="n">
        <v>394.98</v>
      </c>
      <c r="F22" s="12">
        <f>IF(D22&gt;0, (E22-D22)/D22, 0)</f>
        <v/>
      </c>
      <c r="G22" s="11" t="n">
        <v>714.3200000000001</v>
      </c>
      <c r="H22" s="11" t="n">
        <v>5447.22</v>
      </c>
      <c r="I22" s="11" t="n">
        <v>821.24</v>
      </c>
      <c r="J22" s="11" t="n">
        <v>9507.4</v>
      </c>
      <c r="K22" s="23" t="n">
        <v>946252</v>
      </c>
      <c r="L22" s="23" t="n">
        <v>1110226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333.15</v>
      </c>
      <c r="E23" s="16" t="n">
        <v>261.55</v>
      </c>
      <c r="F23" s="12">
        <f>IF(D23&gt;0, (E23-D23)/D23, 0)</f>
        <v/>
      </c>
      <c r="G23" s="16" t="n">
        <v>2162.67</v>
      </c>
      <c r="H23" s="16" t="n">
        <v>6865.03</v>
      </c>
      <c r="I23" s="16" t="n">
        <v>5550.95</v>
      </c>
      <c r="J23" s="16" t="n">
        <v>9666.700000000001</v>
      </c>
      <c r="K23" s="23" t="n">
        <v>1637618</v>
      </c>
      <c r="L23" s="23" t="n">
        <v>1258139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291.22</v>
      </c>
      <c r="E24" s="11" t="n">
        <v>261.23</v>
      </c>
      <c r="F24" s="12">
        <f>IF(D24&gt;0, (E24-D24)/D24, 0)</f>
        <v/>
      </c>
      <c r="G24" s="11" t="n">
        <v>2042.77</v>
      </c>
      <c r="H24" s="11" t="n">
        <v>6506.02</v>
      </c>
      <c r="I24" s="11" t="n">
        <v>5662.79</v>
      </c>
      <c r="J24" s="11" t="n">
        <v>9603.030000000001</v>
      </c>
      <c r="K24" s="23" t="n">
        <v>1607534</v>
      </c>
      <c r="L24" s="23" t="n">
        <v>1189647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276.86</v>
      </c>
      <c r="E25" s="16" t="n">
        <v>245.14</v>
      </c>
      <c r="F25" s="12">
        <f>IF(D25&gt;0, (E25-D25)/D25, 0)</f>
        <v/>
      </c>
      <c r="G25" s="16" t="n">
        <v>2641.94</v>
      </c>
      <c r="H25" s="16" t="n">
        <v>6695.18</v>
      </c>
      <c r="I25" s="16" t="n">
        <v>6716.71</v>
      </c>
      <c r="J25" s="16" t="n">
        <v>9697.459999999999</v>
      </c>
      <c r="K25" s="23" t="n">
        <v>1451254</v>
      </c>
      <c r="L25" s="23" t="n">
        <v>1177795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NODE.JS (FASTIFY) - DETAILED BENCHMARK SPECIFICATION</t>
        </is>
      </c>
    </row>
    <row r="2" ht="18" customHeight="1">
      <c r="A2" s="2" t="inlineStr">
        <is>
          <t>Runtime: Node.js 20 (Cluster / mysql2)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8940.67</v>
      </c>
      <c r="E6" s="11" t="n">
        <v>9439.01</v>
      </c>
      <c r="F6" s="17">
        <f>IF(D6&gt;0, (E6-D6)/D6, 0)</f>
        <v/>
      </c>
      <c r="G6" s="11" t="n">
        <v>2.27</v>
      </c>
      <c r="H6" s="11" t="n">
        <v>2.15</v>
      </c>
      <c r="I6" s="11" t="n">
        <v>2.81</v>
      </c>
      <c r="J6" s="11" t="n">
        <v>2.85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450.37</v>
      </c>
      <c r="E7" s="16" t="n">
        <v>666.48</v>
      </c>
      <c r="F7" s="17">
        <f>IF(D7&gt;0, (E7-D7)/D7, 0)</f>
        <v/>
      </c>
      <c r="G7" s="16" t="n">
        <v>44.42</v>
      </c>
      <c r="H7" s="16" t="n">
        <v>30</v>
      </c>
      <c r="I7" s="16" t="n">
        <v>69.22</v>
      </c>
      <c r="J7" s="16" t="n">
        <v>37.78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405.34</v>
      </c>
      <c r="E8" s="11" t="n">
        <v>595.52</v>
      </c>
      <c r="F8" s="17">
        <f>IF(D8&gt;0, (E8-D8)/D8, 0)</f>
        <v/>
      </c>
      <c r="G8" s="11" t="n">
        <v>49.34</v>
      </c>
      <c r="H8" s="11" t="n">
        <v>33.57</v>
      </c>
      <c r="I8" s="11" t="n">
        <v>77.65000000000001</v>
      </c>
      <c r="J8" s="11" t="n">
        <v>42.71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394.49</v>
      </c>
      <c r="E9" s="16" t="n">
        <v>570.12</v>
      </c>
      <c r="F9" s="17">
        <f>IF(D9&gt;0, (E9-D9)/D9, 0)</f>
        <v/>
      </c>
      <c r="G9" s="16" t="n">
        <v>50.72</v>
      </c>
      <c r="H9" s="16" t="n">
        <v>35.06</v>
      </c>
      <c r="I9" s="16" t="n">
        <v>79.09999999999999</v>
      </c>
      <c r="J9" s="16" t="n">
        <v>44.76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17674.81</v>
      </c>
      <c r="E10" s="11" t="n">
        <v>18694.97</v>
      </c>
      <c r="F10" s="17">
        <f>IF(D10&gt;0, (E10-D10)/D10, 0)</f>
        <v/>
      </c>
      <c r="G10" s="11" t="n">
        <v>5.66</v>
      </c>
      <c r="H10" s="11" t="n">
        <v>5.35</v>
      </c>
      <c r="I10" s="11" t="n">
        <v>9.539999999999999</v>
      </c>
      <c r="J10" s="11" t="n">
        <v>8.550000000000001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380.91</v>
      </c>
      <c r="E11" s="16" t="n">
        <v>483.25</v>
      </c>
      <c r="F11" s="17">
        <f>IF(D11&gt;0, (E11-D11)/D11, 0)</f>
        <v/>
      </c>
      <c r="G11" s="16" t="n">
        <v>261.87</v>
      </c>
      <c r="H11" s="16" t="n">
        <v>206.49</v>
      </c>
      <c r="I11" s="16" t="n">
        <v>391.86</v>
      </c>
      <c r="J11" s="16" t="n">
        <v>318.69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338.04</v>
      </c>
      <c r="E12" s="11" t="n">
        <v>423.53</v>
      </c>
      <c r="F12" s="17">
        <f>IF(D12&gt;0, (E12-D12)/D12, 0)</f>
        <v/>
      </c>
      <c r="G12" s="11" t="n">
        <v>294.96</v>
      </c>
      <c r="H12" s="11" t="n">
        <v>235.53</v>
      </c>
      <c r="I12" s="11" t="n">
        <v>441.1</v>
      </c>
      <c r="J12" s="11" t="n">
        <v>367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326.98</v>
      </c>
      <c r="E13" s="16" t="n">
        <v>411.46</v>
      </c>
      <c r="F13" s="17">
        <f>IF(D13&gt;0, (E13-D13)/D13, 0)</f>
        <v/>
      </c>
      <c r="G13" s="16" t="n">
        <v>304.88</v>
      </c>
      <c r="H13" s="16" t="n">
        <v>242.44</v>
      </c>
      <c r="I13" s="16" t="n">
        <v>456.2</v>
      </c>
      <c r="J13" s="16" t="n">
        <v>377.53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17971.01</v>
      </c>
      <c r="E14" s="11" t="n">
        <v>19842.63</v>
      </c>
      <c r="F14" s="17">
        <f>IF(D14&gt;0, (E14-D14)/D14, 0)</f>
        <v/>
      </c>
      <c r="G14" s="11" t="n">
        <v>27.8</v>
      </c>
      <c r="H14" s="11" t="n">
        <v>25.65</v>
      </c>
      <c r="I14" s="11" t="n">
        <v>45.71</v>
      </c>
      <c r="J14" s="11" t="n">
        <v>38.35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373.83</v>
      </c>
      <c r="E15" s="16" t="n">
        <v>481.19</v>
      </c>
      <c r="F15" s="17">
        <f>IF(D15&gt;0, (E15-D15)/D15, 0)</f>
        <v/>
      </c>
      <c r="G15" s="16" t="n">
        <v>1331.92</v>
      </c>
      <c r="H15" s="16" t="n">
        <v>1058.86</v>
      </c>
      <c r="I15" s="16" t="n">
        <v>2789.4</v>
      </c>
      <c r="J15" s="16" t="n">
        <v>2410.84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331.3</v>
      </c>
      <c r="E16" s="11" t="n">
        <v>424.66</v>
      </c>
      <c r="F16" s="17">
        <f>IF(D16&gt;0, (E16-D16)/D16, 0)</f>
        <v/>
      </c>
      <c r="G16" s="11" t="n">
        <v>1488.32</v>
      </c>
      <c r="H16" s="11" t="n">
        <v>1187.02</v>
      </c>
      <c r="I16" s="11" t="n">
        <v>3010.86</v>
      </c>
      <c r="J16" s="11" t="n">
        <v>2626.76</v>
      </c>
      <c r="K16" s="13" t="n">
        <v>0</v>
      </c>
      <c r="L16" s="13" t="n">
        <v>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319.75</v>
      </c>
      <c r="E17" s="16" t="n">
        <v>410</v>
      </c>
      <c r="F17" s="17">
        <f>IF(D17&gt;0, (E17-D17)/D17, 0)</f>
        <v/>
      </c>
      <c r="G17" s="16" t="n">
        <v>1539.32</v>
      </c>
      <c r="H17" s="16" t="n">
        <v>1226.8</v>
      </c>
      <c r="I17" s="16" t="n">
        <v>3081.68</v>
      </c>
      <c r="J17" s="16" t="n">
        <v>2690.36</v>
      </c>
      <c r="K17" s="18" t="n">
        <v>0</v>
      </c>
      <c r="L17" s="18" t="n">
        <v>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17286.97</v>
      </c>
      <c r="E18" s="11" t="n">
        <v>18440.44</v>
      </c>
      <c r="F18" s="17">
        <f>IF(D18&gt;0, (E18-D18)/D18, 0)</f>
        <v/>
      </c>
      <c r="G18" s="11" t="n">
        <v>123.27</v>
      </c>
      <c r="H18" s="11" t="n">
        <v>113.95</v>
      </c>
      <c r="I18" s="11" t="n">
        <v>211.39</v>
      </c>
      <c r="J18" s="11" t="n">
        <v>173.66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367.54</v>
      </c>
      <c r="E19" s="16" t="n">
        <v>475.9</v>
      </c>
      <c r="F19" s="17">
        <f>IF(D19&gt;0, (E19-D19)/D19, 0)</f>
        <v/>
      </c>
      <c r="G19" s="16" t="n">
        <v>4062.2</v>
      </c>
      <c r="H19" s="16" t="n">
        <v>3378.62</v>
      </c>
      <c r="I19" s="16" t="n">
        <v>9096.309999999999</v>
      </c>
      <c r="J19" s="16" t="n">
        <v>7519.75</v>
      </c>
      <c r="K19" s="23" t="n">
        <v>137856</v>
      </c>
      <c r="L19" s="23" t="n">
        <v>306685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329.86</v>
      </c>
      <c r="E20" s="11" t="n">
        <v>415.92</v>
      </c>
      <c r="F20" s="17">
        <f>IF(D20&gt;0, (E20-D20)/D20, 0)</f>
        <v/>
      </c>
      <c r="G20" s="11" t="n">
        <v>4257.94</v>
      </c>
      <c r="H20" s="11" t="n">
        <v>3497.39</v>
      </c>
      <c r="I20" s="11" t="n">
        <v>9205.33</v>
      </c>
      <c r="J20" s="11" t="n">
        <v>8097.87</v>
      </c>
      <c r="K20" s="23" t="n">
        <v>174300</v>
      </c>
      <c r="L20" s="23" t="n">
        <v>297168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318.72</v>
      </c>
      <c r="E21" s="16" t="n">
        <v>419.15</v>
      </c>
      <c r="F21" s="17">
        <f>IF(D21&gt;0, (E21-D21)/D21, 0)</f>
        <v/>
      </c>
      <c r="G21" s="16" t="n">
        <v>3895.11</v>
      </c>
      <c r="H21" s="16" t="n">
        <v>3513.03</v>
      </c>
      <c r="I21" s="16" t="n">
        <v>9154.91</v>
      </c>
      <c r="J21" s="16" t="n">
        <v>7679.44</v>
      </c>
      <c r="K21" s="23" t="n">
        <v>207538</v>
      </c>
      <c r="L21" s="23" t="n">
        <v>354259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16245.88</v>
      </c>
      <c r="E22" s="11" t="n">
        <v>12233.19</v>
      </c>
      <c r="F22" s="12">
        <f>IF(D22&gt;0, (E22-D22)/D22, 0)</f>
        <v/>
      </c>
      <c r="G22" s="11" t="n">
        <v>626.54</v>
      </c>
      <c r="H22" s="11" t="n">
        <v>1022.43</v>
      </c>
      <c r="I22" s="11" t="n">
        <v>1034.09</v>
      </c>
      <c r="J22" s="11" t="n">
        <v>3195.15</v>
      </c>
      <c r="K22" s="23" t="n">
        <v>84762</v>
      </c>
      <c r="L22" s="23" t="n">
        <v>2512445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1348.92</v>
      </c>
      <c r="E23" s="16" t="n">
        <v>2074.28</v>
      </c>
      <c r="F23" s="17">
        <f>IF(D23&gt;0, (E23-D23)/D23, 0)</f>
        <v/>
      </c>
      <c r="G23" s="16" t="n">
        <v>5247.01</v>
      </c>
      <c r="H23" s="16" t="n">
        <v>4379.15</v>
      </c>
      <c r="I23" s="16" t="n">
        <v>7328.39</v>
      </c>
      <c r="J23" s="16" t="n">
        <v>5684.21</v>
      </c>
      <c r="K23" s="23" t="n">
        <v>7258970</v>
      </c>
      <c r="L23" s="23" t="n">
        <v>11581356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1344.95</v>
      </c>
      <c r="E24" s="11" t="n">
        <v>2051.42</v>
      </c>
      <c r="F24" s="17">
        <f>IF(D24&gt;0, (E24-D24)/D24, 0)</f>
        <v/>
      </c>
      <c r="G24" s="11" t="n">
        <v>5196.88</v>
      </c>
      <c r="H24" s="11" t="n">
        <v>4398.63</v>
      </c>
      <c r="I24" s="11" t="n">
        <v>6597.98</v>
      </c>
      <c r="J24" s="11" t="n">
        <v>5691.2</v>
      </c>
      <c r="K24" s="23" t="n">
        <v>7428758</v>
      </c>
      <c r="L24" s="23" t="n">
        <v>11512166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1349.67</v>
      </c>
      <c r="E25" s="16" t="n">
        <v>2067.47</v>
      </c>
      <c r="F25" s="17">
        <f>IF(D25&gt;0, (E25-D25)/D25, 0)</f>
        <v/>
      </c>
      <c r="G25" s="16" t="n">
        <v>5175.77</v>
      </c>
      <c r="H25" s="16" t="n">
        <v>4400.87</v>
      </c>
      <c r="I25" s="16" t="n">
        <v>6248.76</v>
      </c>
      <c r="J25" s="16" t="n">
        <v>5609.16</v>
      </c>
      <c r="K25" s="23" t="n">
        <v>7542573</v>
      </c>
      <c r="L25" s="23" t="n">
        <v>11688765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PHP (SWOOLE) - DETAILED BENCHMARK SPECIFICATION</t>
        </is>
      </c>
    </row>
    <row r="2" ht="18" customHeight="1">
      <c r="A2" s="2" t="inlineStr">
        <is>
          <t>Runtime: PHP 8.3 (Swoole Coroutine PDO)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20156.65</v>
      </c>
      <c r="E6" s="11" t="n">
        <v>15317.41</v>
      </c>
      <c r="F6" s="12">
        <f>IF(D6&gt;0, (E6-D6)/D6, 0)</f>
        <v/>
      </c>
      <c r="G6" s="11" t="n">
        <v>0.99</v>
      </c>
      <c r="H6" s="11" t="n">
        <v>1.36</v>
      </c>
      <c r="I6" s="11" t="n">
        <v>1.34</v>
      </c>
      <c r="J6" s="11" t="n">
        <v>2.66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419.51</v>
      </c>
      <c r="E7" s="16" t="n">
        <v>602.74</v>
      </c>
      <c r="F7" s="17">
        <f>IF(D7&gt;0, (E7-D7)/D7, 0)</f>
        <v/>
      </c>
      <c r="G7" s="16" t="n">
        <v>47.86</v>
      </c>
      <c r="H7" s="16" t="n">
        <v>33.82</v>
      </c>
      <c r="I7" s="16" t="n">
        <v>78.44</v>
      </c>
      <c r="J7" s="16" t="n">
        <v>68.76000000000001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389.28</v>
      </c>
      <c r="E8" s="11" t="n">
        <v>524.34</v>
      </c>
      <c r="F8" s="17">
        <f>IF(D8&gt;0, (E8-D8)/D8, 0)</f>
        <v/>
      </c>
      <c r="G8" s="11" t="n">
        <v>51.78</v>
      </c>
      <c r="H8" s="11" t="n">
        <v>39.09</v>
      </c>
      <c r="I8" s="11" t="n">
        <v>84.06999999999999</v>
      </c>
      <c r="J8" s="11" t="n">
        <v>78.40000000000001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372.51</v>
      </c>
      <c r="E9" s="16" t="n">
        <v>505.47</v>
      </c>
      <c r="F9" s="17">
        <f>IF(D9&gt;0, (E9-D9)/D9, 0)</f>
        <v/>
      </c>
      <c r="G9" s="16" t="n">
        <v>53.97</v>
      </c>
      <c r="H9" s="16" t="n">
        <v>41.07</v>
      </c>
      <c r="I9" s="16" t="n">
        <v>84.98</v>
      </c>
      <c r="J9" s="16" t="n">
        <v>84.16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36638.61</v>
      </c>
      <c r="E10" s="11" t="n">
        <v>26215.71</v>
      </c>
      <c r="F10" s="12">
        <f>IF(D10&gt;0, (E10-D10)/D10, 0)</f>
        <v/>
      </c>
      <c r="G10" s="11" t="n">
        <v>2.77</v>
      </c>
      <c r="H10" s="11" t="n">
        <v>4.26</v>
      </c>
      <c r="I10" s="11" t="n">
        <v>5.39</v>
      </c>
      <c r="J10" s="11" t="n">
        <v>11.08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380.33</v>
      </c>
      <c r="E11" s="16" t="n">
        <v>541.4299999999999</v>
      </c>
      <c r="F11" s="17">
        <f>IF(D11&gt;0, (E11-D11)/D11, 0)</f>
        <v/>
      </c>
      <c r="G11" s="16" t="n">
        <v>269.94</v>
      </c>
      <c r="H11" s="16" t="n">
        <v>204.07</v>
      </c>
      <c r="I11" s="16" t="n">
        <v>538.8</v>
      </c>
      <c r="J11" s="16" t="n">
        <v>527.11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335.06</v>
      </c>
      <c r="E12" s="11" t="n">
        <v>483.7</v>
      </c>
      <c r="F12" s="17">
        <f>IF(D12&gt;0, (E12-D12)/D12, 0)</f>
        <v/>
      </c>
      <c r="G12" s="11" t="n">
        <v>308</v>
      </c>
      <c r="H12" s="11" t="n">
        <v>229.72</v>
      </c>
      <c r="I12" s="11" t="n">
        <v>622.73</v>
      </c>
      <c r="J12" s="11" t="n">
        <v>604.38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322.64</v>
      </c>
      <c r="E13" s="16" t="n">
        <v>465.83</v>
      </c>
      <c r="F13" s="17">
        <f>IF(D13&gt;0, (E13-D13)/D13, 0)</f>
        <v/>
      </c>
      <c r="G13" s="16" t="n">
        <v>318.17</v>
      </c>
      <c r="H13" s="16" t="n">
        <v>233.46</v>
      </c>
      <c r="I13" s="16" t="n">
        <v>635.77</v>
      </c>
      <c r="J13" s="16" t="n">
        <v>582.46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39576.21</v>
      </c>
      <c r="E14" s="11" t="n">
        <v>30251.2</v>
      </c>
      <c r="F14" s="12">
        <f>IF(D14&gt;0, (E14-D14)/D14, 0)</f>
        <v/>
      </c>
      <c r="G14" s="11" t="n">
        <v>13.75</v>
      </c>
      <c r="H14" s="11" t="n">
        <v>17.61</v>
      </c>
      <c r="I14" s="11" t="n">
        <v>33.11</v>
      </c>
      <c r="J14" s="11" t="n">
        <v>42.53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376.83</v>
      </c>
      <c r="E15" s="16" t="n">
        <v>488.52</v>
      </c>
      <c r="F15" s="17">
        <f>IF(D15&gt;0, (E15-D15)/D15, 0)</f>
        <v/>
      </c>
      <c r="G15" s="16" t="n">
        <v>1236.85</v>
      </c>
      <c r="H15" s="16" t="n">
        <v>1086.85</v>
      </c>
      <c r="I15" s="16" t="n">
        <v>3309.27</v>
      </c>
      <c r="J15" s="16" t="n">
        <v>2734.98</v>
      </c>
      <c r="K15" s="23" t="n">
        <v>3512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331.77</v>
      </c>
      <c r="E16" s="11" t="n">
        <v>431.14</v>
      </c>
      <c r="F16" s="17">
        <f>IF(D16&gt;0, (E16-D16)/D16, 0)</f>
        <v/>
      </c>
      <c r="G16" s="11" t="n">
        <v>1542.16</v>
      </c>
      <c r="H16" s="11" t="n">
        <v>1208.4</v>
      </c>
      <c r="I16" s="11" t="n">
        <v>4167.66</v>
      </c>
      <c r="J16" s="11" t="n">
        <v>2943.01</v>
      </c>
      <c r="K16" s="23" t="n">
        <v>2199</v>
      </c>
      <c r="L16" s="23" t="n">
        <v>1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320.66</v>
      </c>
      <c r="E17" s="16" t="n">
        <v>417.34</v>
      </c>
      <c r="F17" s="17">
        <f>IF(D17&gt;0, (E17-D17)/D17, 0)</f>
        <v/>
      </c>
      <c r="G17" s="16" t="n">
        <v>1551.29</v>
      </c>
      <c r="H17" s="16" t="n">
        <v>1242.56</v>
      </c>
      <c r="I17" s="16" t="n">
        <v>4212</v>
      </c>
      <c r="J17" s="16" t="n">
        <v>2985.51</v>
      </c>
      <c r="K17" s="23" t="n">
        <v>2271</v>
      </c>
      <c r="L17" s="18" t="n">
        <v>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39078.32</v>
      </c>
      <c r="E18" s="11" t="n">
        <v>30531.29</v>
      </c>
      <c r="F18" s="12">
        <f>IF(D18&gt;0, (E18-D18)/D18, 0)</f>
        <v/>
      </c>
      <c r="G18" s="11" t="n">
        <v>59.39</v>
      </c>
      <c r="H18" s="11" t="n">
        <v>75.26000000000001</v>
      </c>
      <c r="I18" s="11" t="n">
        <v>159.05</v>
      </c>
      <c r="J18" s="11" t="n">
        <v>205.45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369.87</v>
      </c>
      <c r="E19" s="16" t="n">
        <v>466.54</v>
      </c>
      <c r="F19" s="17">
        <f>IF(D19&gt;0, (E19-D19)/D19, 0)</f>
        <v/>
      </c>
      <c r="G19" s="16" t="n">
        <v>3429.49</v>
      </c>
      <c r="H19" s="16" t="n">
        <v>3478.82</v>
      </c>
      <c r="I19" s="16" t="n">
        <v>7636.67</v>
      </c>
      <c r="J19" s="16" t="n">
        <v>8576.43</v>
      </c>
      <c r="K19" s="23" t="n">
        <v>101476</v>
      </c>
      <c r="L19" s="23" t="n">
        <v>87452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323.33</v>
      </c>
      <c r="E20" s="11" t="n">
        <v>411.65</v>
      </c>
      <c r="F20" s="17">
        <f>IF(D20&gt;0, (E20-D20)/D20, 0)</f>
        <v/>
      </c>
      <c r="G20" s="11" t="n">
        <v>3618.49</v>
      </c>
      <c r="H20" s="11" t="n">
        <v>3701.09</v>
      </c>
      <c r="I20" s="11" t="n">
        <v>7894.75</v>
      </c>
      <c r="J20" s="11" t="n">
        <v>9018.07</v>
      </c>
      <c r="K20" s="23" t="n">
        <v>103331</v>
      </c>
      <c r="L20" s="23" t="n">
        <v>108215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310.65</v>
      </c>
      <c r="E21" s="16" t="n">
        <v>397.68</v>
      </c>
      <c r="F21" s="17">
        <f>IF(D21&gt;0, (E21-D21)/D21, 0)</f>
        <v/>
      </c>
      <c r="G21" s="16" t="n">
        <v>3841.22</v>
      </c>
      <c r="H21" s="16" t="n">
        <v>3653.69</v>
      </c>
      <c r="I21" s="16" t="n">
        <v>7902.21</v>
      </c>
      <c r="J21" s="16" t="n">
        <v>9048.959999999999</v>
      </c>
      <c r="K21" s="23" t="n">
        <v>98888</v>
      </c>
      <c r="L21" s="23" t="n">
        <v>119298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38702.9</v>
      </c>
      <c r="E22" s="11" t="n">
        <v>29814.67</v>
      </c>
      <c r="F22" s="12">
        <f>IF(D22&gt;0, (E22-D22)/D22, 0)</f>
        <v/>
      </c>
      <c r="G22" s="11" t="n">
        <v>274.61</v>
      </c>
      <c r="H22" s="11" t="n">
        <v>361.09</v>
      </c>
      <c r="I22" s="11" t="n">
        <v>622.9</v>
      </c>
      <c r="J22" s="11" t="n">
        <v>852.49</v>
      </c>
      <c r="K22" s="13" t="n">
        <v>0</v>
      </c>
      <c r="L22" s="13" t="n">
        <v>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349.38</v>
      </c>
      <c r="E23" s="16" t="n">
        <v>452.79</v>
      </c>
      <c r="F23" s="17">
        <f>IF(D23&gt;0, (E23-D23)/D23, 0)</f>
        <v/>
      </c>
      <c r="G23" s="16" t="n">
        <v>5183.24</v>
      </c>
      <c r="H23" s="16" t="n">
        <v>3924.78</v>
      </c>
      <c r="I23" s="16" t="n">
        <v>9217.120000000001</v>
      </c>
      <c r="J23" s="16" t="n">
        <v>8992.940000000001</v>
      </c>
      <c r="K23" s="23" t="n">
        <v>1930412</v>
      </c>
      <c r="L23" s="23" t="n">
        <v>1057974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299.84</v>
      </c>
      <c r="E24" s="11" t="n">
        <v>0</v>
      </c>
      <c r="F24" s="12">
        <f>IF(D24&gt;0, (E24-D24)/D24, 0)</f>
        <v/>
      </c>
      <c r="G24" s="11" t="n">
        <v>5185.9</v>
      </c>
      <c r="H24" s="11" t="n">
        <v>0</v>
      </c>
      <c r="I24" s="11" t="n">
        <v>9436.450000000001</v>
      </c>
      <c r="J24" s="11" t="n">
        <v>0</v>
      </c>
      <c r="K24" s="23" t="n">
        <v>1741834</v>
      </c>
      <c r="L24" s="13" t="n">
        <v>0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288.29</v>
      </c>
      <c r="E25" s="16" t="n">
        <v>0</v>
      </c>
      <c r="F25" s="12">
        <f>IF(D25&gt;0, (E25-D25)/D25, 0)</f>
        <v/>
      </c>
      <c r="G25" s="16" t="n">
        <v>5621.1</v>
      </c>
      <c r="H25" s="16" t="n">
        <v>0</v>
      </c>
      <c r="I25" s="16" t="n">
        <v>9447.940000000001</v>
      </c>
      <c r="J25" s="16" t="n">
        <v>0</v>
      </c>
      <c r="K25" s="23" t="n">
        <v>1671156</v>
      </c>
      <c r="L25" s="18" t="n">
        <v>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GO (FIBER) - DETAILED BENCHMARK SPECIFICATION</t>
        </is>
      </c>
    </row>
    <row r="2" ht="18" customHeight="1">
      <c r="A2" s="2" t="inlineStr">
        <is>
          <t>Runtime: Go 1.21 (Gofiber / go-sql-driver)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4787.56</v>
      </c>
      <c r="E6" s="11" t="n">
        <v>0</v>
      </c>
      <c r="F6" s="12">
        <f>IF(D6&gt;0, (E6-D6)/D6, 0)</f>
        <v/>
      </c>
      <c r="G6" s="11" t="n">
        <v>4.15</v>
      </c>
      <c r="H6" s="11" t="n">
        <v>0</v>
      </c>
      <c r="I6" s="11" t="n">
        <v>5.83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443.46</v>
      </c>
      <c r="E7" s="16" t="n">
        <v>0</v>
      </c>
      <c r="F7" s="12">
        <f>IF(D7&gt;0, (E7-D7)/D7, 0)</f>
        <v/>
      </c>
      <c r="G7" s="16" t="n">
        <v>45.06</v>
      </c>
      <c r="H7" s="16" t="n">
        <v>0</v>
      </c>
      <c r="I7" s="16" t="n">
        <v>78.73</v>
      </c>
      <c r="J7" s="16" t="n">
        <v>0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384.74</v>
      </c>
      <c r="E8" s="11" t="n">
        <v>0</v>
      </c>
      <c r="F8" s="12">
        <f>IF(D8&gt;0, (E8-D8)/D8, 0)</f>
        <v/>
      </c>
      <c r="G8" s="11" t="n">
        <v>51.93</v>
      </c>
      <c r="H8" s="11" t="n">
        <v>0</v>
      </c>
      <c r="I8" s="11" t="n">
        <v>87.05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357.45</v>
      </c>
      <c r="E9" s="16" t="n">
        <v>0</v>
      </c>
      <c r="F9" s="12">
        <f>IF(D9&gt;0, (E9-D9)/D9, 0)</f>
        <v/>
      </c>
      <c r="G9" s="16" t="n">
        <v>55.93</v>
      </c>
      <c r="H9" s="16" t="n">
        <v>0</v>
      </c>
      <c r="I9" s="16" t="n">
        <v>96.67</v>
      </c>
      <c r="J9" s="16" t="n">
        <v>0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20073.31</v>
      </c>
      <c r="E10" s="11" t="n">
        <v>0</v>
      </c>
      <c r="F10" s="12">
        <f>IF(D10&gt;0, (E10-D10)/D10, 0)</f>
        <v/>
      </c>
      <c r="G10" s="11" t="n">
        <v>5.26</v>
      </c>
      <c r="H10" s="11" t="n">
        <v>0</v>
      </c>
      <c r="I10" s="11" t="n">
        <v>12.27</v>
      </c>
      <c r="J10" s="11" t="n">
        <v>0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379.51</v>
      </c>
      <c r="E11" s="16" t="n">
        <v>0</v>
      </c>
      <c r="F11" s="12">
        <f>IF(D11&gt;0, (E11-D11)/D11, 0)</f>
        <v/>
      </c>
      <c r="G11" s="16" t="n">
        <v>263.2</v>
      </c>
      <c r="H11" s="16" t="n">
        <v>0</v>
      </c>
      <c r="I11" s="16" t="n">
        <v>414.78</v>
      </c>
      <c r="J11" s="16" t="n">
        <v>0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337.22</v>
      </c>
      <c r="E12" s="11" t="n">
        <v>0</v>
      </c>
      <c r="F12" s="12">
        <f>IF(D12&gt;0, (E12-D12)/D12, 0)</f>
        <v/>
      </c>
      <c r="G12" s="11" t="n">
        <v>296.25</v>
      </c>
      <c r="H12" s="11" t="n">
        <v>0</v>
      </c>
      <c r="I12" s="11" t="n">
        <v>469.87</v>
      </c>
      <c r="J12" s="11" t="n">
        <v>0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326.46</v>
      </c>
      <c r="E13" s="16" t="n">
        <v>0</v>
      </c>
      <c r="F13" s="12">
        <f>IF(D13&gt;0, (E13-D13)/D13, 0)</f>
        <v/>
      </c>
      <c r="G13" s="16" t="n">
        <v>306</v>
      </c>
      <c r="H13" s="16" t="n">
        <v>0</v>
      </c>
      <c r="I13" s="16" t="n">
        <v>490.98</v>
      </c>
      <c r="J13" s="16" t="n">
        <v>0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21706.17</v>
      </c>
      <c r="E14" s="11" t="n">
        <v>0</v>
      </c>
      <c r="F14" s="12">
        <f>IF(D14&gt;0, (E14-D14)/D14, 0)</f>
        <v/>
      </c>
      <c r="G14" s="11" t="n">
        <v>22.97</v>
      </c>
      <c r="H14" s="11" t="n">
        <v>0</v>
      </c>
      <c r="I14" s="11" t="n">
        <v>40.59</v>
      </c>
      <c r="J14" s="11" t="n">
        <v>0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375.3</v>
      </c>
      <c r="E15" s="16" t="n">
        <v>0</v>
      </c>
      <c r="F15" s="12">
        <f>IF(D15&gt;0, (E15-D15)/D15, 0)</f>
        <v/>
      </c>
      <c r="G15" s="16" t="n">
        <v>1306.74</v>
      </c>
      <c r="H15" s="16" t="n">
        <v>0</v>
      </c>
      <c r="I15" s="16" t="n">
        <v>1873.08</v>
      </c>
      <c r="J15" s="16" t="n">
        <v>0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331.31</v>
      </c>
      <c r="E16" s="11" t="n">
        <v>0</v>
      </c>
      <c r="F16" s="12">
        <f>IF(D16&gt;0, (E16-D16)/D16, 0)</f>
        <v/>
      </c>
      <c r="G16" s="11" t="n">
        <v>1478.51</v>
      </c>
      <c r="H16" s="11" t="n">
        <v>0</v>
      </c>
      <c r="I16" s="11" t="n">
        <v>2126.19</v>
      </c>
      <c r="J16" s="11" t="n">
        <v>0</v>
      </c>
      <c r="K16" s="13" t="n">
        <v>0</v>
      </c>
      <c r="L16" s="13" t="n">
        <v>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318.46</v>
      </c>
      <c r="E17" s="16" t="n">
        <v>0</v>
      </c>
      <c r="F17" s="12">
        <f>IF(D17&gt;0, (E17-D17)/D17, 0)</f>
        <v/>
      </c>
      <c r="G17" s="16" t="n">
        <v>1537.86</v>
      </c>
      <c r="H17" s="16" t="n">
        <v>0</v>
      </c>
      <c r="I17" s="16" t="n">
        <v>2214.25</v>
      </c>
      <c r="J17" s="16" t="n">
        <v>0</v>
      </c>
      <c r="K17" s="18" t="n">
        <v>0</v>
      </c>
      <c r="L17" s="18" t="n">
        <v>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23571.16</v>
      </c>
      <c r="E18" s="11" t="n">
        <v>0</v>
      </c>
      <c r="F18" s="12">
        <f>IF(D18&gt;0, (E18-D18)/D18, 0)</f>
        <v/>
      </c>
      <c r="G18" s="11" t="n">
        <v>84.68000000000001</v>
      </c>
      <c r="H18" s="11" t="n">
        <v>0</v>
      </c>
      <c r="I18" s="11" t="n">
        <v>113.47</v>
      </c>
      <c r="J18" s="11" t="n">
        <v>0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364.38</v>
      </c>
      <c r="E19" s="16" t="n">
        <v>0</v>
      </c>
      <c r="F19" s="12">
        <f>IF(D19&gt;0, (E19-D19)/D19, 0)</f>
        <v/>
      </c>
      <c r="G19" s="16" t="n">
        <v>5347.34</v>
      </c>
      <c r="H19" s="16" t="n">
        <v>0</v>
      </c>
      <c r="I19" s="16" t="n">
        <v>6701.84</v>
      </c>
      <c r="J19" s="16" t="n">
        <v>0</v>
      </c>
      <c r="K19" s="23" t="n">
        <v>613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320.86</v>
      </c>
      <c r="E20" s="11" t="n">
        <v>0</v>
      </c>
      <c r="F20" s="12">
        <f>IF(D20&gt;0, (E20-D20)/D20, 0)</f>
        <v/>
      </c>
      <c r="G20" s="11" t="n">
        <v>6020.96</v>
      </c>
      <c r="H20" s="11" t="n">
        <v>0</v>
      </c>
      <c r="I20" s="11" t="n">
        <v>7537.88</v>
      </c>
      <c r="J20" s="11" t="n">
        <v>0</v>
      </c>
      <c r="K20" s="23" t="n">
        <v>4419</v>
      </c>
      <c r="L20" s="13" t="n">
        <v>0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308.99</v>
      </c>
      <c r="E21" s="16" t="n">
        <v>0</v>
      </c>
      <c r="F21" s="12">
        <f>IF(D21&gt;0, (E21-D21)/D21, 0)</f>
        <v/>
      </c>
      <c r="G21" s="16" t="n">
        <v>6264.87</v>
      </c>
      <c r="H21" s="16" t="n">
        <v>0</v>
      </c>
      <c r="I21" s="16" t="n">
        <v>8211.870000000001</v>
      </c>
      <c r="J21" s="16" t="n">
        <v>0</v>
      </c>
      <c r="K21" s="23" t="n">
        <v>4815</v>
      </c>
      <c r="L21" s="18" t="n">
        <v>0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28030.38</v>
      </c>
      <c r="E22" s="11" t="n">
        <v>0</v>
      </c>
      <c r="F22" s="12">
        <f>IF(D22&gt;0, (E22-D22)/D22, 0)</f>
        <v/>
      </c>
      <c r="G22" s="11" t="n">
        <v>356.18</v>
      </c>
      <c r="H22" s="11" t="n">
        <v>0</v>
      </c>
      <c r="I22" s="11" t="n">
        <v>473.12</v>
      </c>
      <c r="J22" s="11" t="n">
        <v>0</v>
      </c>
      <c r="K22" s="23" t="n">
        <v>2</v>
      </c>
      <c r="L22" s="13" t="n">
        <v>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343.7</v>
      </c>
      <c r="E23" s="16" t="n">
        <v>0</v>
      </c>
      <c r="F23" s="12">
        <f>IF(D23&gt;0, (E23-D23)/D23, 0)</f>
        <v/>
      </c>
      <c r="G23" s="16" t="n">
        <v>260.8</v>
      </c>
      <c r="H23" s="16" t="n">
        <v>0</v>
      </c>
      <c r="I23" s="16" t="n">
        <v>476.4</v>
      </c>
      <c r="J23" s="16" t="n">
        <v>0</v>
      </c>
      <c r="K23" s="23" t="n">
        <v>2059132</v>
      </c>
      <c r="L23" s="18" t="n">
        <v>0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299.52</v>
      </c>
      <c r="E24" s="11" t="n">
        <v>0</v>
      </c>
      <c r="F24" s="12">
        <f>IF(D24&gt;0, (E24-D24)/D24, 0)</f>
        <v/>
      </c>
      <c r="G24" s="11" t="n">
        <v>0</v>
      </c>
      <c r="H24" s="11" t="n">
        <v>0</v>
      </c>
      <c r="I24" s="11" t="n">
        <v>0</v>
      </c>
      <c r="J24" s="11" t="n">
        <v>0</v>
      </c>
      <c r="K24" s="23" t="n">
        <v>1797729</v>
      </c>
      <c r="L24" s="13" t="n">
        <v>0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288.68</v>
      </c>
      <c r="E25" s="16" t="n">
        <v>0</v>
      </c>
      <c r="F25" s="12">
        <f>IF(D25&gt;0, (E25-D25)/D25, 0)</f>
        <v/>
      </c>
      <c r="G25" s="16" t="n">
        <v>0</v>
      </c>
      <c r="H25" s="16" t="n">
        <v>0</v>
      </c>
      <c r="I25" s="16" t="n">
        <v>0</v>
      </c>
      <c r="J25" s="16" t="n">
        <v>0</v>
      </c>
      <c r="K25" s="23" t="n">
        <v>1732650</v>
      </c>
      <c r="L25" s="18" t="n">
        <v>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JAVA (SPRING BOOT) - DETAILED BENCHMARK SPECIFICATION</t>
        </is>
      </c>
    </row>
    <row r="2" ht="18" customHeight="1">
      <c r="A2" s="2" t="inlineStr">
        <is>
          <t>Runtime: Java 17 (HikariCP / JDBC)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9812.719999999999</v>
      </c>
      <c r="E6" s="11" t="n">
        <v>0</v>
      </c>
      <c r="F6" s="12">
        <f>IF(D6&gt;0, (E6-D6)/D6, 0)</f>
        <v/>
      </c>
      <c r="G6" s="11" t="n">
        <v>2.04</v>
      </c>
      <c r="H6" s="11" t="n">
        <v>0</v>
      </c>
      <c r="I6" s="11" t="n">
        <v>2.48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455.72</v>
      </c>
      <c r="E7" s="16" t="n">
        <v>0</v>
      </c>
      <c r="F7" s="12">
        <f>IF(D7&gt;0, (E7-D7)/D7, 0)</f>
        <v/>
      </c>
      <c r="G7" s="16" t="n">
        <v>43.86</v>
      </c>
      <c r="H7" s="16" t="n">
        <v>0</v>
      </c>
      <c r="I7" s="16" t="n">
        <v>67.03</v>
      </c>
      <c r="J7" s="16" t="n">
        <v>0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386.98</v>
      </c>
      <c r="E8" s="11" t="n">
        <v>0</v>
      </c>
      <c r="F8" s="12">
        <f>IF(D8&gt;0, (E8-D8)/D8, 0)</f>
        <v/>
      </c>
      <c r="G8" s="11" t="n">
        <v>51.64</v>
      </c>
      <c r="H8" s="11" t="n">
        <v>0</v>
      </c>
      <c r="I8" s="11" t="n">
        <v>78.17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373.04</v>
      </c>
      <c r="E9" s="16" t="n">
        <v>0</v>
      </c>
      <c r="F9" s="12">
        <f>IF(D9&gt;0, (E9-D9)/D9, 0)</f>
        <v/>
      </c>
      <c r="G9" s="16" t="n">
        <v>53.56</v>
      </c>
      <c r="H9" s="16" t="n">
        <v>0</v>
      </c>
      <c r="I9" s="16" t="n">
        <v>80.43000000000001</v>
      </c>
      <c r="J9" s="16" t="n">
        <v>0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26173.87</v>
      </c>
      <c r="E10" s="11" t="n">
        <v>0</v>
      </c>
      <c r="F10" s="12">
        <f>IF(D10&gt;0, (E10-D10)/D10, 0)</f>
        <v/>
      </c>
      <c r="G10" s="11" t="n">
        <v>3.84</v>
      </c>
      <c r="H10" s="11" t="n">
        <v>0</v>
      </c>
      <c r="I10" s="11" t="n">
        <v>7.1</v>
      </c>
      <c r="J10" s="11" t="n">
        <v>0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370.66</v>
      </c>
      <c r="E11" s="16" t="n">
        <v>0</v>
      </c>
      <c r="F11" s="12">
        <f>IF(D11&gt;0, (E11-D11)/D11, 0)</f>
        <v/>
      </c>
      <c r="G11" s="16" t="n">
        <v>270.17</v>
      </c>
      <c r="H11" s="16" t="n">
        <v>0</v>
      </c>
      <c r="I11" s="16" t="n">
        <v>438.49</v>
      </c>
      <c r="J11" s="16" t="n">
        <v>0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328.49</v>
      </c>
      <c r="E12" s="11" t="n">
        <v>0</v>
      </c>
      <c r="F12" s="12">
        <f>IF(D12&gt;0, (E12-D12)/D12, 0)</f>
        <v/>
      </c>
      <c r="G12" s="11" t="n">
        <v>304.61</v>
      </c>
      <c r="H12" s="11" t="n">
        <v>0</v>
      </c>
      <c r="I12" s="11" t="n">
        <v>487.04</v>
      </c>
      <c r="J12" s="11" t="n">
        <v>0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317.39</v>
      </c>
      <c r="E13" s="16" t="n">
        <v>0</v>
      </c>
      <c r="F13" s="12">
        <f>IF(D13&gt;0, (E13-D13)/D13, 0)</f>
        <v/>
      </c>
      <c r="G13" s="16" t="n">
        <v>315.14</v>
      </c>
      <c r="H13" s="16" t="n">
        <v>0</v>
      </c>
      <c r="I13" s="16" t="n">
        <v>500.42</v>
      </c>
      <c r="J13" s="16" t="n">
        <v>0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25962.84</v>
      </c>
      <c r="E14" s="11" t="n">
        <v>0</v>
      </c>
      <c r="F14" s="12">
        <f>IF(D14&gt;0, (E14-D14)/D14, 0)</f>
        <v/>
      </c>
      <c r="G14" s="11" t="n">
        <v>19.36</v>
      </c>
      <c r="H14" s="11" t="n">
        <v>0</v>
      </c>
      <c r="I14" s="11" t="n">
        <v>32.37</v>
      </c>
      <c r="J14" s="11" t="n">
        <v>0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366.92</v>
      </c>
      <c r="E15" s="16" t="n">
        <v>0</v>
      </c>
      <c r="F15" s="12">
        <f>IF(D15&gt;0, (E15-D15)/D15, 0)</f>
        <v/>
      </c>
      <c r="G15" s="16" t="n">
        <v>1336.51</v>
      </c>
      <c r="H15" s="16" t="n">
        <v>0</v>
      </c>
      <c r="I15" s="16" t="n">
        <v>1936.79</v>
      </c>
      <c r="J15" s="16" t="n">
        <v>0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323.94</v>
      </c>
      <c r="E16" s="11" t="n">
        <v>0</v>
      </c>
      <c r="F16" s="12">
        <f>IF(D16&gt;0, (E16-D16)/D16, 0)</f>
        <v/>
      </c>
      <c r="G16" s="11" t="n">
        <v>1511.68</v>
      </c>
      <c r="H16" s="11" t="n">
        <v>0</v>
      </c>
      <c r="I16" s="11" t="n">
        <v>2178.89</v>
      </c>
      <c r="J16" s="11" t="n">
        <v>0</v>
      </c>
      <c r="K16" s="13" t="n">
        <v>0</v>
      </c>
      <c r="L16" s="13" t="n">
        <v>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312.43</v>
      </c>
      <c r="E17" s="16" t="n">
        <v>0</v>
      </c>
      <c r="F17" s="12">
        <f>IF(D17&gt;0, (E17-D17)/D17, 0)</f>
        <v/>
      </c>
      <c r="G17" s="16" t="n">
        <v>1566.52</v>
      </c>
      <c r="H17" s="16" t="n">
        <v>0</v>
      </c>
      <c r="I17" s="16" t="n">
        <v>2257.84</v>
      </c>
      <c r="J17" s="16" t="n">
        <v>0</v>
      </c>
      <c r="K17" s="18" t="n">
        <v>0</v>
      </c>
      <c r="L17" s="18" t="n">
        <v>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25358.42</v>
      </c>
      <c r="E18" s="11" t="n">
        <v>0</v>
      </c>
      <c r="F18" s="12">
        <f>IF(D18&gt;0, (E18-D18)/D18, 0)</f>
        <v/>
      </c>
      <c r="G18" s="11" t="n">
        <v>79.03</v>
      </c>
      <c r="H18" s="11" t="n">
        <v>0</v>
      </c>
      <c r="I18" s="11" t="n">
        <v>112.77</v>
      </c>
      <c r="J18" s="11" t="n">
        <v>0</v>
      </c>
      <c r="K18" s="13" t="n">
        <v>0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358.57</v>
      </c>
      <c r="E19" s="16" t="n">
        <v>0</v>
      </c>
      <c r="F19" s="12">
        <f>IF(D19&gt;0, (E19-D19)/D19, 0)</f>
        <v/>
      </c>
      <c r="G19" s="16" t="n">
        <v>5424.53</v>
      </c>
      <c r="H19" s="16" t="n">
        <v>0</v>
      </c>
      <c r="I19" s="16" t="n">
        <v>6857.47</v>
      </c>
      <c r="J19" s="16" t="n">
        <v>0</v>
      </c>
      <c r="K19" s="23" t="n">
        <v>648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315.29</v>
      </c>
      <c r="E20" s="11" t="n">
        <v>0</v>
      </c>
      <c r="F20" s="12">
        <f>IF(D20&gt;0, (E20-D20)/D20, 0)</f>
        <v/>
      </c>
      <c r="G20" s="11" t="n">
        <v>6143.36</v>
      </c>
      <c r="H20" s="11" t="n">
        <v>0</v>
      </c>
      <c r="I20" s="11" t="n">
        <v>7911.41</v>
      </c>
      <c r="J20" s="11" t="n">
        <v>0</v>
      </c>
      <c r="K20" s="23" t="n">
        <v>3225</v>
      </c>
      <c r="L20" s="13" t="n">
        <v>0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304.81</v>
      </c>
      <c r="E21" s="16" t="n">
        <v>0</v>
      </c>
      <c r="F21" s="12">
        <f>IF(D21&gt;0, (E21-D21)/D21, 0)</f>
        <v/>
      </c>
      <c r="G21" s="16" t="n">
        <v>6319.87</v>
      </c>
      <c r="H21" s="16" t="n">
        <v>0</v>
      </c>
      <c r="I21" s="16" t="n">
        <v>7791.32</v>
      </c>
      <c r="J21" s="16" t="n">
        <v>0</v>
      </c>
      <c r="K21" s="23" t="n">
        <v>7334</v>
      </c>
      <c r="L21" s="18" t="n">
        <v>0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32043.47</v>
      </c>
      <c r="E22" s="11" t="n">
        <v>0</v>
      </c>
      <c r="F22" s="12">
        <f>IF(D22&gt;0, (E22-D22)/D22, 0)</f>
        <v/>
      </c>
      <c r="G22" s="11" t="n">
        <v>262.17</v>
      </c>
      <c r="H22" s="11" t="n">
        <v>0</v>
      </c>
      <c r="I22" s="11" t="n">
        <v>333.06</v>
      </c>
      <c r="J22" s="11" t="n">
        <v>0</v>
      </c>
      <c r="K22" s="23" t="n">
        <v>113093</v>
      </c>
      <c r="L22" s="13" t="n">
        <v>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450.41</v>
      </c>
      <c r="E23" s="16" t="n">
        <v>0</v>
      </c>
      <c r="F23" s="12">
        <f>IF(D23&gt;0, (E23-D23)/D23, 0)</f>
        <v/>
      </c>
      <c r="G23" s="16" t="n">
        <v>4789.39</v>
      </c>
      <c r="H23" s="16" t="n">
        <v>0</v>
      </c>
      <c r="I23" s="16" t="n">
        <v>9482.040000000001</v>
      </c>
      <c r="J23" s="16" t="n">
        <v>0</v>
      </c>
      <c r="K23" s="23" t="n">
        <v>2663498</v>
      </c>
      <c r="L23" s="18" t="n">
        <v>0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399.15</v>
      </c>
      <c r="E24" s="11" t="n">
        <v>0</v>
      </c>
      <c r="F24" s="12">
        <f>IF(D24&gt;0, (E24-D24)/D24, 0)</f>
        <v/>
      </c>
      <c r="G24" s="11" t="n">
        <v>4844.28</v>
      </c>
      <c r="H24" s="11" t="n">
        <v>0</v>
      </c>
      <c r="I24" s="11" t="n">
        <v>9487.76</v>
      </c>
      <c r="J24" s="11" t="n">
        <v>0</v>
      </c>
      <c r="K24" s="23" t="n">
        <v>2369381</v>
      </c>
      <c r="L24" s="13" t="n">
        <v>0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385.56</v>
      </c>
      <c r="E25" s="16" t="n">
        <v>0</v>
      </c>
      <c r="F25" s="12">
        <f>IF(D25&gt;0, (E25-D25)/D25, 0)</f>
        <v/>
      </c>
      <c r="G25" s="16" t="n">
        <v>4825.82</v>
      </c>
      <c r="H25" s="16" t="n">
        <v>0</v>
      </c>
      <c r="I25" s="16" t="n">
        <v>9484.110000000001</v>
      </c>
      <c r="J25" s="16" t="n">
        <v>0</v>
      </c>
      <c r="K25" s="23" t="n">
        <v>2290792</v>
      </c>
      <c r="L25" s="18" t="n">
        <v>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27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(OPT.) (FASTAPI (OPT)) - DETAILED BENCHMARK SPECIFICATION</t>
        </is>
      </c>
    </row>
    <row r="2" ht="18" customHeight="1">
      <c r="A2" s="2" t="inlineStr">
        <is>
          <t>Runtime: Python 3.12 (CustomORJSONResponse / uvloop / 16 workers)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21" t="inlineStr">
        <is>
          <t>1table</t>
        </is>
      </c>
      <c r="D6" s="11" t="n">
        <v>1539.17</v>
      </c>
      <c r="E6" s="11" t="n">
        <v>0</v>
      </c>
      <c r="F6" s="12">
        <f>IF(D6&gt;0, (E6-D6)/D6, 0)</f>
        <v/>
      </c>
      <c r="G6" s="11" t="n">
        <v>12.99</v>
      </c>
      <c r="H6" s="11" t="n">
        <v>0</v>
      </c>
      <c r="I6" s="11" t="n">
        <v>16.29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22" t="inlineStr">
        <is>
          <t>2join</t>
        </is>
      </c>
      <c r="D7" s="16" t="n">
        <v>416.01</v>
      </c>
      <c r="E7" s="16" t="n">
        <v>0</v>
      </c>
      <c r="F7" s="12">
        <f>IF(D7&gt;0, (E7-D7)/D7, 0)</f>
        <v/>
      </c>
      <c r="G7" s="16" t="n">
        <v>48.39</v>
      </c>
      <c r="H7" s="16" t="n">
        <v>0</v>
      </c>
      <c r="I7" s="16" t="n">
        <v>76.73</v>
      </c>
      <c r="J7" s="16" t="n">
        <v>0</v>
      </c>
      <c r="K7" s="18" t="n">
        <v>0</v>
      </c>
      <c r="L7" s="18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21" t="inlineStr">
        <is>
          <t>3join</t>
        </is>
      </c>
      <c r="D8" s="11" t="n">
        <v>363.37</v>
      </c>
      <c r="E8" s="11" t="n">
        <v>0</v>
      </c>
      <c r="F8" s="12">
        <f>IF(D8&gt;0, (E8-D8)/D8, 0)</f>
        <v/>
      </c>
      <c r="G8" s="11" t="n">
        <v>55.35</v>
      </c>
      <c r="H8" s="11" t="n">
        <v>0</v>
      </c>
      <c r="I8" s="11" t="n">
        <v>87.73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22" t="inlineStr">
        <is>
          <t>4join</t>
        </is>
      </c>
      <c r="D9" s="16" t="n">
        <v>346.56</v>
      </c>
      <c r="E9" s="16" t="n">
        <v>0</v>
      </c>
      <c r="F9" s="12">
        <f>IF(D9&gt;0, (E9-D9)/D9, 0)</f>
        <v/>
      </c>
      <c r="G9" s="16" t="n">
        <v>57.81</v>
      </c>
      <c r="H9" s="16" t="n">
        <v>0</v>
      </c>
      <c r="I9" s="16" t="n">
        <v>92.40000000000001</v>
      </c>
      <c r="J9" s="16" t="n">
        <v>0</v>
      </c>
      <c r="K9" s="18" t="n">
        <v>0</v>
      </c>
      <c r="L9" s="18" t="n">
        <v>0</v>
      </c>
    </row>
    <row r="10" ht="20" customHeight="1">
      <c r="A10" s="9" t="inlineStr">
        <is>
          <t>Small</t>
        </is>
      </c>
      <c r="B10" s="9" t="inlineStr">
        <is>
          <t>100 conn (4 threads)</t>
        </is>
      </c>
      <c r="C10" s="21" t="inlineStr">
        <is>
          <t>1table</t>
        </is>
      </c>
      <c r="D10" s="11" t="n">
        <v>1646.57</v>
      </c>
      <c r="E10" s="11" t="n">
        <v>0</v>
      </c>
      <c r="F10" s="12">
        <f>IF(D10&gt;0, (E10-D10)/D10, 0)</f>
        <v/>
      </c>
      <c r="G10" s="11" t="n">
        <v>60.74</v>
      </c>
      <c r="H10" s="11" t="n">
        <v>0</v>
      </c>
      <c r="I10" s="11" t="n">
        <v>69.38</v>
      </c>
      <c r="J10" s="11" t="n">
        <v>0</v>
      </c>
      <c r="K10" s="13" t="n">
        <v>0</v>
      </c>
      <c r="L10" s="13" t="n">
        <v>0</v>
      </c>
    </row>
    <row r="11" ht="20" customHeight="1">
      <c r="A11" s="14" t="inlineStr">
        <is>
          <t>Small</t>
        </is>
      </c>
      <c r="B11" s="14" t="inlineStr">
        <is>
          <t>100 conn (4 threads)</t>
        </is>
      </c>
      <c r="C11" s="22" t="inlineStr">
        <is>
          <t>2join</t>
        </is>
      </c>
      <c r="D11" s="16" t="n">
        <v>375.1</v>
      </c>
      <c r="E11" s="16" t="n">
        <v>0</v>
      </c>
      <c r="F11" s="12">
        <f>IF(D11&gt;0, (E11-D11)/D11, 0)</f>
        <v/>
      </c>
      <c r="G11" s="16" t="n">
        <v>267.32</v>
      </c>
      <c r="H11" s="16" t="n">
        <v>0</v>
      </c>
      <c r="I11" s="16" t="n">
        <v>441.4</v>
      </c>
      <c r="J11" s="16" t="n">
        <v>0</v>
      </c>
      <c r="K11" s="18" t="n">
        <v>0</v>
      </c>
      <c r="L11" s="18" t="n">
        <v>0</v>
      </c>
    </row>
    <row r="12" ht="20" customHeight="1">
      <c r="A12" s="9" t="inlineStr">
        <is>
          <t>Small</t>
        </is>
      </c>
      <c r="B12" s="9" t="inlineStr">
        <is>
          <t>100 conn (4 threads)</t>
        </is>
      </c>
      <c r="C12" s="21" t="inlineStr">
        <is>
          <t>3join</t>
        </is>
      </c>
      <c r="D12" s="11" t="n">
        <v>326.43</v>
      </c>
      <c r="E12" s="11" t="n">
        <v>0</v>
      </c>
      <c r="F12" s="12">
        <f>IF(D12&gt;0, (E12-D12)/D12, 0)</f>
        <v/>
      </c>
      <c r="G12" s="11" t="n">
        <v>307.27</v>
      </c>
      <c r="H12" s="11" t="n">
        <v>0</v>
      </c>
      <c r="I12" s="11" t="n">
        <v>514.87</v>
      </c>
      <c r="J12" s="11" t="n">
        <v>0</v>
      </c>
      <c r="K12" s="13" t="n">
        <v>0</v>
      </c>
      <c r="L12" s="13" t="n">
        <v>0</v>
      </c>
    </row>
    <row r="13" ht="20" customHeight="1">
      <c r="A13" s="14" t="inlineStr">
        <is>
          <t>Small</t>
        </is>
      </c>
      <c r="B13" s="14" t="inlineStr">
        <is>
          <t>100 conn (4 threads)</t>
        </is>
      </c>
      <c r="C13" s="22" t="inlineStr">
        <is>
          <t>4join</t>
        </is>
      </c>
      <c r="D13" s="16" t="n">
        <v>316.62</v>
      </c>
      <c r="E13" s="16" t="n">
        <v>0</v>
      </c>
      <c r="F13" s="12">
        <f>IF(D13&gt;0, (E13-D13)/D13, 0)</f>
        <v/>
      </c>
      <c r="G13" s="16" t="n">
        <v>316.71</v>
      </c>
      <c r="H13" s="16" t="n">
        <v>0</v>
      </c>
      <c r="I13" s="16" t="n">
        <v>528.92</v>
      </c>
      <c r="J13" s="16" t="n">
        <v>0</v>
      </c>
      <c r="K13" s="18" t="n">
        <v>0</v>
      </c>
      <c r="L13" s="18" t="n">
        <v>0</v>
      </c>
    </row>
    <row r="14" ht="20" customHeight="1">
      <c r="A14" s="9" t="inlineStr">
        <is>
          <t>General</t>
        </is>
      </c>
      <c r="B14" s="9" t="inlineStr">
        <is>
          <t>500 conn (8 threads)</t>
        </is>
      </c>
      <c r="C14" s="21" t="inlineStr">
        <is>
          <t>1table</t>
        </is>
      </c>
      <c r="D14" s="11" t="n">
        <v>1677.61</v>
      </c>
      <c r="E14" s="11" t="n">
        <v>0</v>
      </c>
      <c r="F14" s="12">
        <f>IF(D14&gt;0, (E14-D14)/D14, 0)</f>
        <v/>
      </c>
      <c r="G14" s="11" t="n">
        <v>299.08</v>
      </c>
      <c r="H14" s="11" t="n">
        <v>0</v>
      </c>
      <c r="I14" s="11" t="n">
        <v>400.83</v>
      </c>
      <c r="J14" s="11" t="n">
        <v>0</v>
      </c>
      <c r="K14" s="13" t="n">
        <v>0</v>
      </c>
      <c r="L14" s="13" t="n">
        <v>0</v>
      </c>
    </row>
    <row r="15" ht="20" customHeight="1">
      <c r="A15" s="14" t="inlineStr">
        <is>
          <t>General</t>
        </is>
      </c>
      <c r="B15" s="14" t="inlineStr">
        <is>
          <t>500 conn (8 threads)</t>
        </is>
      </c>
      <c r="C15" s="22" t="inlineStr">
        <is>
          <t>2join</t>
        </is>
      </c>
      <c r="D15" s="16" t="n">
        <v>367.65</v>
      </c>
      <c r="E15" s="16" t="n">
        <v>0</v>
      </c>
      <c r="F15" s="12">
        <f>IF(D15&gt;0, (E15-D15)/D15, 0)</f>
        <v/>
      </c>
      <c r="G15" s="16" t="n">
        <v>1367.19</v>
      </c>
      <c r="H15" s="16" t="n">
        <v>0</v>
      </c>
      <c r="I15" s="16" t="n">
        <v>2873.32</v>
      </c>
      <c r="J15" s="16" t="n">
        <v>0</v>
      </c>
      <c r="K15" s="18" t="n">
        <v>0</v>
      </c>
      <c r="L15" s="18" t="n">
        <v>0</v>
      </c>
    </row>
    <row r="16" ht="20" customHeight="1">
      <c r="A16" s="9" t="inlineStr">
        <is>
          <t>General</t>
        </is>
      </c>
      <c r="B16" s="9" t="inlineStr">
        <is>
          <t>500 conn (8 threads)</t>
        </is>
      </c>
      <c r="C16" s="21" t="inlineStr">
        <is>
          <t>3join</t>
        </is>
      </c>
      <c r="D16" s="11" t="n">
        <v>321.62</v>
      </c>
      <c r="E16" s="11" t="n">
        <v>0</v>
      </c>
      <c r="F16" s="12">
        <f>IF(D16&gt;0, (E16-D16)/D16, 0)</f>
        <v/>
      </c>
      <c r="G16" s="11" t="n">
        <v>1550.94</v>
      </c>
      <c r="H16" s="11" t="n">
        <v>0</v>
      </c>
      <c r="I16" s="11" t="n">
        <v>3176.48</v>
      </c>
      <c r="J16" s="11" t="n">
        <v>0</v>
      </c>
      <c r="K16" s="13" t="n">
        <v>0</v>
      </c>
      <c r="L16" s="13" t="n">
        <v>0</v>
      </c>
    </row>
    <row r="17" ht="20" customHeight="1">
      <c r="A17" s="14" t="inlineStr">
        <is>
          <t>General</t>
        </is>
      </c>
      <c r="B17" s="14" t="inlineStr">
        <is>
          <t>500 conn (8 threads)</t>
        </is>
      </c>
      <c r="C17" s="22" t="inlineStr">
        <is>
          <t>4join</t>
        </is>
      </c>
      <c r="D17" s="16" t="n">
        <v>308.64</v>
      </c>
      <c r="E17" s="16" t="n">
        <v>0</v>
      </c>
      <c r="F17" s="12">
        <f>IF(D17&gt;0, (E17-D17)/D17, 0)</f>
        <v/>
      </c>
      <c r="G17" s="16" t="n">
        <v>1616.05</v>
      </c>
      <c r="H17" s="16" t="n">
        <v>0</v>
      </c>
      <c r="I17" s="16" t="n">
        <v>3311.65</v>
      </c>
      <c r="J17" s="16" t="n">
        <v>0</v>
      </c>
      <c r="K17" s="18" t="n">
        <v>0</v>
      </c>
      <c r="L17" s="18" t="n">
        <v>0</v>
      </c>
    </row>
    <row r="18" ht="20" customHeight="1">
      <c r="A18" s="9" t="inlineStr">
        <is>
          <t>High</t>
        </is>
      </c>
      <c r="B18" s="9" t="inlineStr">
        <is>
          <t>2,000 conn (8 threads)</t>
        </is>
      </c>
      <c r="C18" s="21" t="inlineStr">
        <is>
          <t>1table</t>
        </is>
      </c>
      <c r="D18" s="11" t="n">
        <v>1628.43</v>
      </c>
      <c r="E18" s="11" t="n">
        <v>0</v>
      </c>
      <c r="F18" s="12">
        <f>IF(D18&gt;0, (E18-D18)/D18, 0)</f>
        <v/>
      </c>
      <c r="G18" s="11" t="n">
        <v>1295.09</v>
      </c>
      <c r="H18" s="11" t="n">
        <v>0</v>
      </c>
      <c r="I18" s="11" t="n">
        <v>5538.69</v>
      </c>
      <c r="J18" s="11" t="n">
        <v>0</v>
      </c>
      <c r="K18" s="23" t="n">
        <v>87146</v>
      </c>
      <c r="L18" s="13" t="n">
        <v>0</v>
      </c>
    </row>
    <row r="19" ht="20" customHeight="1">
      <c r="A19" s="14" t="inlineStr">
        <is>
          <t>High</t>
        </is>
      </c>
      <c r="B19" s="14" t="inlineStr">
        <is>
          <t>2,000 conn (8 threads)</t>
        </is>
      </c>
      <c r="C19" s="22" t="inlineStr">
        <is>
          <t>2join</t>
        </is>
      </c>
      <c r="D19" s="16" t="n">
        <v>359.09</v>
      </c>
      <c r="E19" s="16" t="n">
        <v>0</v>
      </c>
      <c r="F19" s="12">
        <f>IF(D19&gt;0, (E19-D19)/D19, 0)</f>
        <v/>
      </c>
      <c r="G19" s="16" t="n">
        <v>4094.19</v>
      </c>
      <c r="H19" s="16" t="n">
        <v>0</v>
      </c>
      <c r="I19" s="16" t="n">
        <v>8311.35</v>
      </c>
      <c r="J19" s="16" t="n">
        <v>0</v>
      </c>
      <c r="K19" s="23" t="n">
        <v>113591</v>
      </c>
      <c r="L19" s="18" t="n">
        <v>0</v>
      </c>
    </row>
    <row r="20" ht="20" customHeight="1">
      <c r="A20" s="9" t="inlineStr">
        <is>
          <t>High</t>
        </is>
      </c>
      <c r="B20" s="9" t="inlineStr">
        <is>
          <t>2,000 conn (8 threads)</t>
        </is>
      </c>
      <c r="C20" s="21" t="inlineStr">
        <is>
          <t>3join</t>
        </is>
      </c>
      <c r="D20" s="11" t="n">
        <v>313</v>
      </c>
      <c r="E20" s="11" t="n">
        <v>0</v>
      </c>
      <c r="F20" s="12">
        <f>IF(D20&gt;0, (E20-D20)/D20, 0)</f>
        <v/>
      </c>
      <c r="G20" s="11" t="n">
        <v>5460.79</v>
      </c>
      <c r="H20" s="11" t="n">
        <v>0</v>
      </c>
      <c r="I20" s="11" t="n">
        <v>9063.690000000001</v>
      </c>
      <c r="J20" s="11" t="n">
        <v>0</v>
      </c>
      <c r="K20" s="23" t="n">
        <v>74133</v>
      </c>
      <c r="L20" s="13" t="n">
        <v>0</v>
      </c>
    </row>
    <row r="21" ht="20" customHeight="1">
      <c r="A21" s="14" t="inlineStr">
        <is>
          <t>High</t>
        </is>
      </c>
      <c r="B21" s="14" t="inlineStr">
        <is>
          <t>2,000 conn (8 threads)</t>
        </is>
      </c>
      <c r="C21" s="22" t="inlineStr">
        <is>
          <t>4join</t>
        </is>
      </c>
      <c r="D21" s="16" t="n">
        <v>300.72</v>
      </c>
      <c r="E21" s="16" t="n">
        <v>0</v>
      </c>
      <c r="F21" s="12">
        <f>IF(D21&gt;0, (E21-D21)/D21, 0)</f>
        <v/>
      </c>
      <c r="G21" s="16" t="n">
        <v>4670.08</v>
      </c>
      <c r="H21" s="16" t="n">
        <v>0</v>
      </c>
      <c r="I21" s="16" t="n">
        <v>8995.290000000001</v>
      </c>
      <c r="J21" s="16" t="n">
        <v>0</v>
      </c>
      <c r="K21" s="23" t="n">
        <v>132003</v>
      </c>
      <c r="L21" s="18" t="n">
        <v>0</v>
      </c>
    </row>
    <row r="22" ht="20" customHeight="1">
      <c r="A22" s="9" t="inlineStr">
        <is>
          <t>Stress</t>
        </is>
      </c>
      <c r="B22" s="9" t="inlineStr">
        <is>
          <t>10,000 conn (16 threads)</t>
        </is>
      </c>
      <c r="C22" s="21" t="inlineStr">
        <is>
          <t>1table</t>
        </is>
      </c>
      <c r="D22" s="11" t="n">
        <v>1426.62</v>
      </c>
      <c r="E22" s="11" t="n">
        <v>0</v>
      </c>
      <c r="F22" s="12">
        <f>IF(D22&gt;0, (E22-D22)/D22, 0)</f>
        <v/>
      </c>
      <c r="G22" s="11" t="n">
        <v>714.3200000000001</v>
      </c>
      <c r="H22" s="11" t="n">
        <v>0</v>
      </c>
      <c r="I22" s="11" t="n">
        <v>821.24</v>
      </c>
      <c r="J22" s="11" t="n">
        <v>0</v>
      </c>
      <c r="K22" s="23" t="n">
        <v>946252</v>
      </c>
      <c r="L22" s="13" t="n">
        <v>0</v>
      </c>
    </row>
    <row r="23" ht="20" customHeight="1">
      <c r="A23" s="14" t="inlineStr">
        <is>
          <t>Stress</t>
        </is>
      </c>
      <c r="B23" s="14" t="inlineStr">
        <is>
          <t>10,000 conn (16 threads)</t>
        </is>
      </c>
      <c r="C23" s="22" t="inlineStr">
        <is>
          <t>2join</t>
        </is>
      </c>
      <c r="D23" s="16" t="n">
        <v>333.15</v>
      </c>
      <c r="E23" s="16" t="n">
        <v>0</v>
      </c>
      <c r="F23" s="12">
        <f>IF(D23&gt;0, (E23-D23)/D23, 0)</f>
        <v/>
      </c>
      <c r="G23" s="16" t="n">
        <v>2162.67</v>
      </c>
      <c r="H23" s="16" t="n">
        <v>0</v>
      </c>
      <c r="I23" s="16" t="n">
        <v>5550.95</v>
      </c>
      <c r="J23" s="16" t="n">
        <v>0</v>
      </c>
      <c r="K23" s="23" t="n">
        <v>1637618</v>
      </c>
      <c r="L23" s="18" t="n">
        <v>0</v>
      </c>
    </row>
    <row r="24" ht="20" customHeight="1">
      <c r="A24" s="9" t="inlineStr">
        <is>
          <t>Stress</t>
        </is>
      </c>
      <c r="B24" s="9" t="inlineStr">
        <is>
          <t>10,000 conn (16 threads)</t>
        </is>
      </c>
      <c r="C24" s="21" t="inlineStr">
        <is>
          <t>3join</t>
        </is>
      </c>
      <c r="D24" s="11" t="n">
        <v>291.22</v>
      </c>
      <c r="E24" s="11" t="n">
        <v>0</v>
      </c>
      <c r="F24" s="12">
        <f>IF(D24&gt;0, (E24-D24)/D24, 0)</f>
        <v/>
      </c>
      <c r="G24" s="11" t="n">
        <v>2042.77</v>
      </c>
      <c r="H24" s="11" t="n">
        <v>0</v>
      </c>
      <c r="I24" s="11" t="n">
        <v>5662.79</v>
      </c>
      <c r="J24" s="11" t="n">
        <v>0</v>
      </c>
      <c r="K24" s="23" t="n">
        <v>1607534</v>
      </c>
      <c r="L24" s="13" t="n">
        <v>0</v>
      </c>
    </row>
    <row r="25" ht="20" customHeight="1">
      <c r="A25" s="14" t="inlineStr">
        <is>
          <t>Stress</t>
        </is>
      </c>
      <c r="B25" s="14" t="inlineStr">
        <is>
          <t>10,000 conn (16 threads)</t>
        </is>
      </c>
      <c r="C25" s="22" t="inlineStr">
        <is>
          <t>4join</t>
        </is>
      </c>
      <c r="D25" s="16" t="n">
        <v>276.86</v>
      </c>
      <c r="E25" s="16" t="n">
        <v>0</v>
      </c>
      <c r="F25" s="12">
        <f>IF(D25&gt;0, (E25-D25)/D25, 0)</f>
        <v/>
      </c>
      <c r="G25" s="16" t="n">
        <v>2641.94</v>
      </c>
      <c r="H25" s="16" t="n">
        <v>0</v>
      </c>
      <c r="I25" s="16" t="n">
        <v>6716.71</v>
      </c>
      <c r="J25" s="16" t="n">
        <v>0</v>
      </c>
      <c r="K25" s="23" t="n">
        <v>1451254</v>
      </c>
      <c r="L25" s="18" t="n">
        <v>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2026-10-20T12:54:04Z</dcterms:created>
  <dcterms:modified xmlns:dcterms="http://purl.org/dc/terms/" xmlns:xsi="http://www.w3.org/2001/XMLSchema-instance" xsi:type="dcterms:W3CDTF">2026-10-20T12:54:04Z</dcterms:modified>
</cp:coreProperties>
</file>